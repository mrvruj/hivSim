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8800" windowHeight="13710" activeTab="6"/>
  </bookViews>
  <sheets>
    <sheet name="means 8" sheetId="22" r:id="rId1"/>
    <sheet name="means 16" sheetId="23" r:id="rId2"/>
    <sheet name="means 32" sheetId="24" r:id="rId3"/>
    <sheet name="means 64" sheetId="25" r:id="rId4"/>
    <sheet name="means 128" sheetId="26" r:id="rId5"/>
    <sheet name="means 256" sheetId="27" r:id="rId6"/>
    <sheet name="means 512" sheetId="28" r:id="rId7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4" i="22" l="1"/>
  <c r="O34" i="22"/>
  <c r="Q33" i="22"/>
  <c r="O33" i="22"/>
  <c r="Q32" i="22"/>
  <c r="O32" i="22"/>
  <c r="Q31" i="22"/>
  <c r="O31" i="22"/>
  <c r="Q30" i="22"/>
  <c r="O30" i="22"/>
  <c r="Q29" i="22"/>
  <c r="O29" i="22"/>
  <c r="Q28" i="22"/>
  <c r="O28" i="22"/>
  <c r="Q27" i="22"/>
  <c r="O27" i="22"/>
  <c r="Q26" i="22"/>
  <c r="O26" i="22"/>
  <c r="Q25" i="22"/>
  <c r="O25" i="22"/>
  <c r="Q24" i="22"/>
  <c r="O24" i="22"/>
  <c r="Q23" i="22"/>
  <c r="O23" i="22"/>
  <c r="Q22" i="22"/>
  <c r="O22" i="22"/>
  <c r="Q21" i="22"/>
  <c r="O21" i="22"/>
  <c r="Q20" i="22"/>
  <c r="O20" i="22"/>
  <c r="Q19" i="22"/>
  <c r="O19" i="22"/>
  <c r="Q18" i="22"/>
  <c r="O18" i="22"/>
  <c r="Q17" i="22"/>
  <c r="O17" i="22"/>
  <c r="Q16" i="22"/>
  <c r="O16" i="22"/>
  <c r="Q15" i="22"/>
  <c r="O15" i="22"/>
  <c r="Q14" i="22"/>
  <c r="O14" i="22"/>
  <c r="Q13" i="22"/>
  <c r="O13" i="22"/>
  <c r="Q12" i="22"/>
  <c r="O12" i="22"/>
  <c r="Q11" i="22"/>
  <c r="O11" i="22"/>
  <c r="Q34" i="23"/>
  <c r="O34" i="23"/>
  <c r="Q33" i="23"/>
  <c r="O33" i="23"/>
  <c r="Q32" i="23"/>
  <c r="O32" i="23"/>
  <c r="Q31" i="23"/>
  <c r="O31" i="23"/>
  <c r="Q30" i="23"/>
  <c r="O30" i="23"/>
  <c r="Q29" i="23"/>
  <c r="O29" i="23"/>
  <c r="Q28" i="23"/>
  <c r="O28" i="23"/>
  <c r="Q27" i="23"/>
  <c r="O27" i="23"/>
  <c r="Q26" i="23"/>
  <c r="O26" i="23"/>
  <c r="Q25" i="23"/>
  <c r="O25" i="23"/>
  <c r="Q24" i="23"/>
  <c r="O24" i="23"/>
  <c r="Q23" i="23"/>
  <c r="O23" i="23"/>
  <c r="Q22" i="23"/>
  <c r="O22" i="23"/>
  <c r="Q21" i="23"/>
  <c r="O21" i="23"/>
  <c r="Q20" i="23"/>
  <c r="O20" i="23"/>
  <c r="Q19" i="23"/>
  <c r="O19" i="23"/>
  <c r="Q18" i="23"/>
  <c r="O18" i="23"/>
  <c r="Q17" i="23"/>
  <c r="O17" i="23"/>
  <c r="Q16" i="23"/>
  <c r="O16" i="23"/>
  <c r="Q15" i="23"/>
  <c r="O15" i="23"/>
  <c r="Q14" i="23"/>
  <c r="O14" i="23"/>
  <c r="Q13" i="23"/>
  <c r="O13" i="23"/>
  <c r="Q12" i="23"/>
  <c r="O12" i="23"/>
  <c r="Q11" i="23"/>
  <c r="O11" i="23"/>
  <c r="Q34" i="24"/>
  <c r="O34" i="24"/>
  <c r="Q33" i="24"/>
  <c r="O33" i="24"/>
  <c r="Q32" i="24"/>
  <c r="O32" i="24"/>
  <c r="Q31" i="24"/>
  <c r="O31" i="24"/>
  <c r="Q30" i="24"/>
  <c r="O30" i="24"/>
  <c r="Q29" i="24"/>
  <c r="O29" i="24"/>
  <c r="Q28" i="24"/>
  <c r="O28" i="24"/>
  <c r="Q27" i="24"/>
  <c r="O27" i="24"/>
  <c r="Q26" i="24"/>
  <c r="O26" i="24"/>
  <c r="Q25" i="24"/>
  <c r="O25" i="24"/>
  <c r="Q24" i="24"/>
  <c r="O24" i="24"/>
  <c r="Q23" i="24"/>
  <c r="O23" i="24"/>
  <c r="Q22" i="24"/>
  <c r="O22" i="24"/>
  <c r="Q21" i="24"/>
  <c r="O21" i="24"/>
  <c r="Q20" i="24"/>
  <c r="O20" i="24"/>
  <c r="Q19" i="24"/>
  <c r="O19" i="24"/>
  <c r="Q18" i="24"/>
  <c r="O18" i="24"/>
  <c r="Q17" i="24"/>
  <c r="O17" i="24"/>
  <c r="Q16" i="24"/>
  <c r="O16" i="24"/>
  <c r="Q15" i="24"/>
  <c r="O15" i="24"/>
  <c r="Q14" i="24"/>
  <c r="O14" i="24"/>
  <c r="Q13" i="24"/>
  <c r="O13" i="24"/>
  <c r="Q12" i="24"/>
  <c r="O12" i="24"/>
  <c r="Q11" i="24"/>
  <c r="O11" i="24"/>
  <c r="Q12" i="25"/>
  <c r="Q13" i="25"/>
  <c r="Q14" i="25"/>
  <c r="Q15" i="25"/>
  <c r="Q16" i="25"/>
  <c r="Q17" i="25"/>
  <c r="Q18" i="25"/>
  <c r="Q19" i="25"/>
  <c r="Q20" i="25"/>
  <c r="Q21" i="25"/>
  <c r="Q22" i="25"/>
  <c r="Q23" i="25"/>
  <c r="Q24" i="25"/>
  <c r="Q25" i="25"/>
  <c r="Q26" i="25"/>
  <c r="Q27" i="25"/>
  <c r="Q28" i="25"/>
  <c r="Q29" i="25"/>
  <c r="Q30" i="25"/>
  <c r="Q31" i="25"/>
  <c r="Q32" i="25"/>
  <c r="Q33" i="25"/>
  <c r="Q34" i="25"/>
  <c r="Q11" i="25"/>
  <c r="O34" i="25"/>
  <c r="O33" i="25"/>
  <c r="O32" i="25"/>
  <c r="O31" i="25"/>
  <c r="O30" i="25"/>
  <c r="O29" i="25"/>
  <c r="O28" i="25"/>
  <c r="O27" i="25"/>
  <c r="O26" i="25"/>
  <c r="O25" i="25"/>
  <c r="O24" i="25"/>
  <c r="O23" i="25"/>
  <c r="O22" i="25"/>
  <c r="O21" i="25"/>
  <c r="O20" i="25"/>
  <c r="O19" i="25"/>
  <c r="O18" i="25"/>
  <c r="O17" i="25"/>
  <c r="O16" i="25"/>
  <c r="O15" i="25"/>
  <c r="O14" i="25"/>
  <c r="O13" i="25"/>
  <c r="O12" i="25"/>
  <c r="O11" i="25"/>
  <c r="D60" i="22" l="1"/>
  <c r="C60" i="22"/>
  <c r="D59" i="22"/>
  <c r="C59" i="22"/>
  <c r="D58" i="22"/>
  <c r="C58" i="22"/>
  <c r="D57" i="22"/>
  <c r="C57" i="22"/>
  <c r="D56" i="22"/>
  <c r="C56" i="22"/>
  <c r="D55" i="22"/>
  <c r="C55" i="22"/>
  <c r="D54" i="22"/>
  <c r="C54" i="22"/>
  <c r="D53" i="22"/>
  <c r="C53" i="22"/>
  <c r="D52" i="22"/>
  <c r="C52" i="22"/>
  <c r="D51" i="22"/>
  <c r="C51" i="22"/>
  <c r="D50" i="22"/>
  <c r="C50" i="22"/>
  <c r="D49" i="22"/>
  <c r="C49" i="22"/>
  <c r="D48" i="22"/>
  <c r="C48" i="22"/>
  <c r="D47" i="22"/>
  <c r="C47" i="22"/>
  <c r="D46" i="22"/>
  <c r="C46" i="22"/>
  <c r="D45" i="22"/>
  <c r="C45" i="22"/>
  <c r="D44" i="22"/>
  <c r="C44" i="22"/>
  <c r="D43" i="22"/>
  <c r="C43" i="22"/>
  <c r="D42" i="22"/>
  <c r="C42" i="22"/>
  <c r="D41" i="22"/>
  <c r="C41" i="22"/>
  <c r="D40" i="22"/>
  <c r="C40" i="22"/>
  <c r="D39" i="22"/>
  <c r="C39" i="22"/>
  <c r="D38" i="22"/>
  <c r="C38" i="22"/>
  <c r="D37" i="22"/>
  <c r="C37" i="22"/>
  <c r="D39" i="24"/>
  <c r="C37" i="23"/>
  <c r="L60" i="28" l="1"/>
  <c r="P60" i="28" s="1"/>
  <c r="J60" i="28"/>
  <c r="H60" i="28"/>
  <c r="G60" i="28"/>
  <c r="K60" i="28" s="1"/>
  <c r="B60" i="28"/>
  <c r="F60" i="28" s="1"/>
  <c r="A60" i="28"/>
  <c r="P59" i="28"/>
  <c r="L59" i="28"/>
  <c r="O59" i="28" s="1"/>
  <c r="J59" i="28"/>
  <c r="G59" i="28"/>
  <c r="K59" i="28" s="1"/>
  <c r="B59" i="28"/>
  <c r="F59" i="28" s="1"/>
  <c r="A59" i="28"/>
  <c r="L58" i="28"/>
  <c r="O58" i="28" s="1"/>
  <c r="H58" i="28"/>
  <c r="G58" i="28"/>
  <c r="K58" i="28" s="1"/>
  <c r="B58" i="28"/>
  <c r="F58" i="28" s="1"/>
  <c r="A58" i="28"/>
  <c r="P57" i="28"/>
  <c r="L57" i="28"/>
  <c r="O57" i="28" s="1"/>
  <c r="G57" i="28"/>
  <c r="K57" i="28" s="1"/>
  <c r="B57" i="28"/>
  <c r="F57" i="28" s="1"/>
  <c r="A57" i="28"/>
  <c r="L56" i="28"/>
  <c r="O56" i="28" s="1"/>
  <c r="J56" i="28"/>
  <c r="H56" i="28"/>
  <c r="G56" i="28"/>
  <c r="K56" i="28" s="1"/>
  <c r="B56" i="28"/>
  <c r="F56" i="28" s="1"/>
  <c r="A56" i="28"/>
  <c r="P55" i="28"/>
  <c r="L55" i="28"/>
  <c r="O55" i="28" s="1"/>
  <c r="J55" i="28"/>
  <c r="G55" i="28"/>
  <c r="K55" i="28" s="1"/>
  <c r="B55" i="28"/>
  <c r="F55" i="28" s="1"/>
  <c r="A55" i="28"/>
  <c r="L54" i="28"/>
  <c r="O54" i="28" s="1"/>
  <c r="H54" i="28"/>
  <c r="G54" i="28"/>
  <c r="K54" i="28" s="1"/>
  <c r="B54" i="28"/>
  <c r="F54" i="28" s="1"/>
  <c r="A54" i="28"/>
  <c r="P53" i="28"/>
  <c r="L53" i="28"/>
  <c r="O53" i="28" s="1"/>
  <c r="G53" i="28"/>
  <c r="K53" i="28" s="1"/>
  <c r="B53" i="28"/>
  <c r="F53" i="28" s="1"/>
  <c r="A53" i="28"/>
  <c r="L52" i="28"/>
  <c r="O52" i="28" s="1"/>
  <c r="J52" i="28"/>
  <c r="H52" i="28"/>
  <c r="G52" i="28"/>
  <c r="K52" i="28" s="1"/>
  <c r="B52" i="28"/>
  <c r="F52" i="28" s="1"/>
  <c r="A52" i="28"/>
  <c r="P51" i="28"/>
  <c r="L51" i="28"/>
  <c r="O51" i="28" s="1"/>
  <c r="J51" i="28"/>
  <c r="G51" i="28"/>
  <c r="K51" i="28" s="1"/>
  <c r="B51" i="28"/>
  <c r="F51" i="28" s="1"/>
  <c r="A51" i="28"/>
  <c r="L50" i="28"/>
  <c r="O50" i="28" s="1"/>
  <c r="H50" i="28"/>
  <c r="G50" i="28"/>
  <c r="K50" i="28" s="1"/>
  <c r="B50" i="28"/>
  <c r="F50" i="28" s="1"/>
  <c r="A50" i="28"/>
  <c r="P49" i="28"/>
  <c r="L49" i="28"/>
  <c r="O49" i="28" s="1"/>
  <c r="G49" i="28"/>
  <c r="K49" i="28" s="1"/>
  <c r="B49" i="28"/>
  <c r="F49" i="28" s="1"/>
  <c r="A49" i="28"/>
  <c r="L48" i="28"/>
  <c r="O48" i="28" s="1"/>
  <c r="J48" i="28"/>
  <c r="H48" i="28"/>
  <c r="G48" i="28"/>
  <c r="K48" i="28" s="1"/>
  <c r="B48" i="28"/>
  <c r="F48" i="28" s="1"/>
  <c r="A48" i="28"/>
  <c r="P47" i="28"/>
  <c r="L47" i="28"/>
  <c r="O47" i="28" s="1"/>
  <c r="J47" i="28"/>
  <c r="G47" i="28"/>
  <c r="K47" i="28" s="1"/>
  <c r="B47" i="28"/>
  <c r="F47" i="28" s="1"/>
  <c r="A47" i="28"/>
  <c r="L46" i="28"/>
  <c r="O46" i="28" s="1"/>
  <c r="H46" i="28"/>
  <c r="G46" i="28"/>
  <c r="K46" i="28" s="1"/>
  <c r="B46" i="28"/>
  <c r="F46" i="28" s="1"/>
  <c r="A46" i="28"/>
  <c r="P45" i="28"/>
  <c r="L45" i="28"/>
  <c r="O45" i="28" s="1"/>
  <c r="G45" i="28"/>
  <c r="K45" i="28" s="1"/>
  <c r="B45" i="28"/>
  <c r="F45" i="28" s="1"/>
  <c r="A45" i="28"/>
  <c r="L44" i="28"/>
  <c r="O44" i="28" s="1"/>
  <c r="J44" i="28"/>
  <c r="H44" i="28"/>
  <c r="G44" i="28"/>
  <c r="K44" i="28" s="1"/>
  <c r="B44" i="28"/>
  <c r="F44" i="28" s="1"/>
  <c r="A44" i="28"/>
  <c r="P43" i="28"/>
  <c r="L43" i="28"/>
  <c r="O43" i="28" s="1"/>
  <c r="J43" i="28"/>
  <c r="G43" i="28"/>
  <c r="K43" i="28" s="1"/>
  <c r="B43" i="28"/>
  <c r="F43" i="28" s="1"/>
  <c r="A43" i="28"/>
  <c r="L42" i="28"/>
  <c r="O42" i="28" s="1"/>
  <c r="H42" i="28"/>
  <c r="G42" i="28"/>
  <c r="K42" i="28" s="1"/>
  <c r="B42" i="28"/>
  <c r="F42" i="28" s="1"/>
  <c r="A42" i="28"/>
  <c r="P41" i="28"/>
  <c r="L41" i="28"/>
  <c r="O41" i="28" s="1"/>
  <c r="G41" i="28"/>
  <c r="K41" i="28" s="1"/>
  <c r="B41" i="28"/>
  <c r="F41" i="28" s="1"/>
  <c r="A41" i="28"/>
  <c r="L40" i="28"/>
  <c r="O40" i="28" s="1"/>
  <c r="J40" i="28"/>
  <c r="H40" i="28"/>
  <c r="G40" i="28"/>
  <c r="K40" i="28" s="1"/>
  <c r="B40" i="28"/>
  <c r="F40" i="28" s="1"/>
  <c r="A40" i="28"/>
  <c r="P39" i="28"/>
  <c r="L39" i="28"/>
  <c r="O39" i="28" s="1"/>
  <c r="J39" i="28"/>
  <c r="G39" i="28"/>
  <c r="K39" i="28" s="1"/>
  <c r="B39" i="28"/>
  <c r="F39" i="28" s="1"/>
  <c r="A39" i="28"/>
  <c r="L38" i="28"/>
  <c r="O38" i="28" s="1"/>
  <c r="H38" i="28"/>
  <c r="G38" i="28"/>
  <c r="K38" i="28" s="1"/>
  <c r="B38" i="28"/>
  <c r="F38" i="28" s="1"/>
  <c r="A38" i="28"/>
  <c r="P37" i="28"/>
  <c r="L37" i="28"/>
  <c r="O37" i="28" s="1"/>
  <c r="G37" i="28"/>
  <c r="K37" i="28" s="1"/>
  <c r="B37" i="28"/>
  <c r="F37" i="28" s="1"/>
  <c r="A37" i="28"/>
  <c r="L60" i="27"/>
  <c r="P60" i="27" s="1"/>
  <c r="G60" i="27"/>
  <c r="K60" i="27" s="1"/>
  <c r="B60" i="27"/>
  <c r="F60" i="27" s="1"/>
  <c r="A60" i="27"/>
  <c r="L59" i="27"/>
  <c r="P59" i="27" s="1"/>
  <c r="J59" i="27"/>
  <c r="H59" i="27"/>
  <c r="G59" i="27"/>
  <c r="I59" i="27" s="1"/>
  <c r="B59" i="27"/>
  <c r="F59" i="27" s="1"/>
  <c r="A59" i="27"/>
  <c r="L58" i="27"/>
  <c r="P58" i="27" s="1"/>
  <c r="G58" i="27"/>
  <c r="K58" i="27" s="1"/>
  <c r="B58" i="27"/>
  <c r="F58" i="27" s="1"/>
  <c r="A58" i="27"/>
  <c r="L57" i="27"/>
  <c r="P57" i="27" s="1"/>
  <c r="G57" i="27"/>
  <c r="I57" i="27" s="1"/>
  <c r="B57" i="27"/>
  <c r="F57" i="27" s="1"/>
  <c r="A57" i="27"/>
  <c r="L56" i="27"/>
  <c r="P56" i="27" s="1"/>
  <c r="G56" i="27"/>
  <c r="K56" i="27" s="1"/>
  <c r="B56" i="27"/>
  <c r="F56" i="27" s="1"/>
  <c r="A56" i="27"/>
  <c r="L55" i="27"/>
  <c r="P55" i="27" s="1"/>
  <c r="G55" i="27"/>
  <c r="I55" i="27" s="1"/>
  <c r="B55" i="27"/>
  <c r="F55" i="27" s="1"/>
  <c r="A55" i="27"/>
  <c r="L54" i="27"/>
  <c r="P54" i="27" s="1"/>
  <c r="I54" i="27"/>
  <c r="H54" i="27"/>
  <c r="G54" i="27"/>
  <c r="K54" i="27" s="1"/>
  <c r="B54" i="27"/>
  <c r="F54" i="27" s="1"/>
  <c r="A54" i="27"/>
  <c r="L53" i="27"/>
  <c r="P53" i="27" s="1"/>
  <c r="G53" i="27"/>
  <c r="I53" i="27" s="1"/>
  <c r="B53" i="27"/>
  <c r="F53" i="27" s="1"/>
  <c r="A53" i="27"/>
  <c r="L52" i="27"/>
  <c r="P52" i="27" s="1"/>
  <c r="G52" i="27"/>
  <c r="K52" i="27" s="1"/>
  <c r="B52" i="27"/>
  <c r="F52" i="27" s="1"/>
  <c r="A52" i="27"/>
  <c r="L51" i="27"/>
  <c r="P51" i="27" s="1"/>
  <c r="G51" i="27"/>
  <c r="I51" i="27" s="1"/>
  <c r="B51" i="27"/>
  <c r="F51" i="27" s="1"/>
  <c r="A51" i="27"/>
  <c r="L50" i="27"/>
  <c r="P50" i="27" s="1"/>
  <c r="G50" i="27"/>
  <c r="K50" i="27" s="1"/>
  <c r="B50" i="27"/>
  <c r="F50" i="27" s="1"/>
  <c r="A50" i="27"/>
  <c r="L49" i="27"/>
  <c r="P49" i="27" s="1"/>
  <c r="G49" i="27"/>
  <c r="I49" i="27" s="1"/>
  <c r="B49" i="27"/>
  <c r="F49" i="27" s="1"/>
  <c r="A49" i="27"/>
  <c r="L48" i="27"/>
  <c r="P48" i="27" s="1"/>
  <c r="G48" i="27"/>
  <c r="K48" i="27" s="1"/>
  <c r="B48" i="27"/>
  <c r="F48" i="27" s="1"/>
  <c r="A48" i="27"/>
  <c r="L47" i="27"/>
  <c r="P47" i="27" s="1"/>
  <c r="G47" i="27"/>
  <c r="I47" i="27" s="1"/>
  <c r="B47" i="27"/>
  <c r="F47" i="27" s="1"/>
  <c r="A47" i="27"/>
  <c r="L46" i="27"/>
  <c r="P46" i="27" s="1"/>
  <c r="G46" i="27"/>
  <c r="K46" i="27" s="1"/>
  <c r="B46" i="27"/>
  <c r="F46" i="27" s="1"/>
  <c r="A46" i="27"/>
  <c r="L45" i="27"/>
  <c r="P45" i="27" s="1"/>
  <c r="G45" i="27"/>
  <c r="I45" i="27" s="1"/>
  <c r="B45" i="27"/>
  <c r="F45" i="27" s="1"/>
  <c r="A45" i="27"/>
  <c r="L44" i="27"/>
  <c r="P44" i="27" s="1"/>
  <c r="G44" i="27"/>
  <c r="K44" i="27" s="1"/>
  <c r="B44" i="27"/>
  <c r="F44" i="27" s="1"/>
  <c r="A44" i="27"/>
  <c r="L43" i="27"/>
  <c r="P43" i="27" s="1"/>
  <c r="G43" i="27"/>
  <c r="I43" i="27" s="1"/>
  <c r="B43" i="27"/>
  <c r="F43" i="27" s="1"/>
  <c r="A43" i="27"/>
  <c r="L42" i="27"/>
  <c r="P42" i="27" s="1"/>
  <c r="G42" i="27"/>
  <c r="K42" i="27" s="1"/>
  <c r="B42" i="27"/>
  <c r="F42" i="27" s="1"/>
  <c r="A42" i="27"/>
  <c r="L41" i="27"/>
  <c r="P41" i="27" s="1"/>
  <c r="G41" i="27"/>
  <c r="I41" i="27" s="1"/>
  <c r="E41" i="27"/>
  <c r="B41" i="27"/>
  <c r="F41" i="27" s="1"/>
  <c r="A41" i="27"/>
  <c r="L40" i="27"/>
  <c r="P40" i="27" s="1"/>
  <c r="G40" i="27"/>
  <c r="K40" i="27" s="1"/>
  <c r="B40" i="27"/>
  <c r="F40" i="27" s="1"/>
  <c r="A40" i="27"/>
  <c r="L39" i="27"/>
  <c r="P39" i="27" s="1"/>
  <c r="G39" i="27"/>
  <c r="I39" i="27" s="1"/>
  <c r="B39" i="27"/>
  <c r="F39" i="27" s="1"/>
  <c r="A39" i="27"/>
  <c r="L38" i="27"/>
  <c r="P38" i="27" s="1"/>
  <c r="G38" i="27"/>
  <c r="K38" i="27" s="1"/>
  <c r="B38" i="27"/>
  <c r="F38" i="27" s="1"/>
  <c r="A38" i="27"/>
  <c r="L37" i="27"/>
  <c r="P37" i="27" s="1"/>
  <c r="G37" i="27"/>
  <c r="I37" i="27" s="1"/>
  <c r="B37" i="27"/>
  <c r="F37" i="27" s="1"/>
  <c r="A37" i="27"/>
  <c r="L60" i="26"/>
  <c r="P60" i="26" s="1"/>
  <c r="G60" i="26"/>
  <c r="H60" i="26" s="1"/>
  <c r="B60" i="26"/>
  <c r="F60" i="26" s="1"/>
  <c r="A60" i="26"/>
  <c r="L59" i="26"/>
  <c r="P59" i="26" s="1"/>
  <c r="G59" i="26"/>
  <c r="H59" i="26" s="1"/>
  <c r="B59" i="26"/>
  <c r="F59" i="26" s="1"/>
  <c r="A59" i="26"/>
  <c r="L58" i="26"/>
  <c r="P58" i="26" s="1"/>
  <c r="G58" i="26"/>
  <c r="H58" i="26" s="1"/>
  <c r="B58" i="26"/>
  <c r="F58" i="26" s="1"/>
  <c r="A58" i="26"/>
  <c r="L57" i="26"/>
  <c r="P57" i="26" s="1"/>
  <c r="K57" i="26"/>
  <c r="G57" i="26"/>
  <c r="H57" i="26" s="1"/>
  <c r="B57" i="26"/>
  <c r="F57" i="26" s="1"/>
  <c r="A57" i="26"/>
  <c r="L56" i="26"/>
  <c r="P56" i="26" s="1"/>
  <c r="G56" i="26"/>
  <c r="H56" i="26" s="1"/>
  <c r="B56" i="26"/>
  <c r="C56" i="26" s="1"/>
  <c r="A56" i="26"/>
  <c r="L55" i="26"/>
  <c r="P55" i="26" s="1"/>
  <c r="G55" i="26"/>
  <c r="H55" i="26" s="1"/>
  <c r="B55" i="26"/>
  <c r="F55" i="26" s="1"/>
  <c r="A55" i="26"/>
  <c r="L54" i="26"/>
  <c r="P54" i="26" s="1"/>
  <c r="G54" i="26"/>
  <c r="H54" i="26" s="1"/>
  <c r="B54" i="26"/>
  <c r="C54" i="26" s="1"/>
  <c r="A54" i="26"/>
  <c r="L53" i="26"/>
  <c r="P53" i="26" s="1"/>
  <c r="G53" i="26"/>
  <c r="H53" i="26" s="1"/>
  <c r="B53" i="26"/>
  <c r="F53" i="26" s="1"/>
  <c r="A53" i="26"/>
  <c r="L52" i="26"/>
  <c r="P52" i="26" s="1"/>
  <c r="G52" i="26"/>
  <c r="H52" i="26" s="1"/>
  <c r="B52" i="26"/>
  <c r="F52" i="26" s="1"/>
  <c r="A52" i="26"/>
  <c r="L51" i="26"/>
  <c r="P51" i="26" s="1"/>
  <c r="G51" i="26"/>
  <c r="H51" i="26" s="1"/>
  <c r="B51" i="26"/>
  <c r="C51" i="26" s="1"/>
  <c r="A51" i="26"/>
  <c r="L50" i="26"/>
  <c r="P50" i="26" s="1"/>
  <c r="G50" i="26"/>
  <c r="H50" i="26" s="1"/>
  <c r="B50" i="26"/>
  <c r="F50" i="26" s="1"/>
  <c r="A50" i="26"/>
  <c r="L49" i="26"/>
  <c r="P49" i="26" s="1"/>
  <c r="K49" i="26"/>
  <c r="J49" i="26"/>
  <c r="G49" i="26"/>
  <c r="H49" i="26" s="1"/>
  <c r="B49" i="26"/>
  <c r="F49" i="26" s="1"/>
  <c r="A49" i="26"/>
  <c r="L48" i="26"/>
  <c r="P48" i="26" s="1"/>
  <c r="G48" i="26"/>
  <c r="H48" i="26" s="1"/>
  <c r="B48" i="26"/>
  <c r="F48" i="26" s="1"/>
  <c r="A48" i="26"/>
  <c r="L47" i="26"/>
  <c r="P47" i="26" s="1"/>
  <c r="G47" i="26"/>
  <c r="H47" i="26" s="1"/>
  <c r="B47" i="26"/>
  <c r="F47" i="26" s="1"/>
  <c r="A47" i="26"/>
  <c r="L46" i="26"/>
  <c r="P46" i="26" s="1"/>
  <c r="G46" i="26"/>
  <c r="H46" i="26" s="1"/>
  <c r="B46" i="26"/>
  <c r="F46" i="26" s="1"/>
  <c r="A46" i="26"/>
  <c r="L45" i="26"/>
  <c r="P45" i="26" s="1"/>
  <c r="G45" i="26"/>
  <c r="H45" i="26" s="1"/>
  <c r="B45" i="26"/>
  <c r="F45" i="26" s="1"/>
  <c r="A45" i="26"/>
  <c r="L44" i="26"/>
  <c r="P44" i="26" s="1"/>
  <c r="G44" i="26"/>
  <c r="H44" i="26" s="1"/>
  <c r="B44" i="26"/>
  <c r="C44" i="26" s="1"/>
  <c r="A44" i="26"/>
  <c r="L43" i="26"/>
  <c r="P43" i="26" s="1"/>
  <c r="G43" i="26"/>
  <c r="H43" i="26" s="1"/>
  <c r="B43" i="26"/>
  <c r="F43" i="26" s="1"/>
  <c r="A43" i="26"/>
  <c r="L42" i="26"/>
  <c r="P42" i="26" s="1"/>
  <c r="G42" i="26"/>
  <c r="H42" i="26" s="1"/>
  <c r="B42" i="26"/>
  <c r="C42" i="26" s="1"/>
  <c r="A42" i="26"/>
  <c r="L41" i="26"/>
  <c r="P41" i="26" s="1"/>
  <c r="G41" i="26"/>
  <c r="H41" i="26" s="1"/>
  <c r="B41" i="26"/>
  <c r="F41" i="26" s="1"/>
  <c r="A41" i="26"/>
  <c r="L40" i="26"/>
  <c r="P40" i="26" s="1"/>
  <c r="G40" i="26"/>
  <c r="H40" i="26" s="1"/>
  <c r="B40" i="26"/>
  <c r="F40" i="26" s="1"/>
  <c r="A40" i="26"/>
  <c r="L39" i="26"/>
  <c r="P39" i="26" s="1"/>
  <c r="G39" i="26"/>
  <c r="H39" i="26" s="1"/>
  <c r="B39" i="26"/>
  <c r="F39" i="26" s="1"/>
  <c r="A39" i="26"/>
  <c r="L38" i="26"/>
  <c r="P38" i="26" s="1"/>
  <c r="G38" i="26"/>
  <c r="H38" i="26" s="1"/>
  <c r="B38" i="26"/>
  <c r="C38" i="26" s="1"/>
  <c r="A38" i="26"/>
  <c r="L37" i="26"/>
  <c r="P37" i="26" s="1"/>
  <c r="G37" i="26"/>
  <c r="H37" i="26" s="1"/>
  <c r="B37" i="26"/>
  <c r="F37" i="26" s="1"/>
  <c r="A37" i="26"/>
  <c r="L60" i="25"/>
  <c r="O60" i="25" s="1"/>
  <c r="J60" i="25"/>
  <c r="G60" i="25"/>
  <c r="K60" i="25" s="1"/>
  <c r="B60" i="25"/>
  <c r="F60" i="25" s="1"/>
  <c r="A60" i="25"/>
  <c r="L59" i="25"/>
  <c r="O59" i="25" s="1"/>
  <c r="H59" i="25"/>
  <c r="G59" i="25"/>
  <c r="I59" i="25" s="1"/>
  <c r="B59" i="25"/>
  <c r="F59" i="25" s="1"/>
  <c r="A59" i="25"/>
  <c r="P58" i="25"/>
  <c r="L58" i="25"/>
  <c r="O58" i="25" s="1"/>
  <c r="G58" i="25"/>
  <c r="K58" i="25" s="1"/>
  <c r="B58" i="25"/>
  <c r="F58" i="25" s="1"/>
  <c r="A58" i="25"/>
  <c r="L57" i="25"/>
  <c r="O57" i="25" s="1"/>
  <c r="J57" i="25"/>
  <c r="H57" i="25"/>
  <c r="G57" i="25"/>
  <c r="I57" i="25" s="1"/>
  <c r="B57" i="25"/>
  <c r="F57" i="25" s="1"/>
  <c r="A57" i="25"/>
  <c r="P56" i="25"/>
  <c r="L56" i="25"/>
  <c r="O56" i="25" s="1"/>
  <c r="G56" i="25"/>
  <c r="K56" i="25" s="1"/>
  <c r="B56" i="25"/>
  <c r="F56" i="25" s="1"/>
  <c r="A56" i="25"/>
  <c r="L55" i="25"/>
  <c r="O55" i="25" s="1"/>
  <c r="J55" i="25"/>
  <c r="G55" i="25"/>
  <c r="I55" i="25" s="1"/>
  <c r="B55" i="25"/>
  <c r="F55" i="25" s="1"/>
  <c r="A55" i="25"/>
  <c r="L54" i="25"/>
  <c r="O54" i="25" s="1"/>
  <c r="J54" i="25"/>
  <c r="H54" i="25"/>
  <c r="G54" i="25"/>
  <c r="K54" i="25" s="1"/>
  <c r="B54" i="25"/>
  <c r="C54" i="25" s="1"/>
  <c r="A54" i="25"/>
  <c r="L53" i="25"/>
  <c r="O53" i="25" s="1"/>
  <c r="G53" i="25"/>
  <c r="I53" i="25" s="1"/>
  <c r="B53" i="25"/>
  <c r="F53" i="25" s="1"/>
  <c r="A53" i="25"/>
  <c r="L52" i="25"/>
  <c r="O52" i="25" s="1"/>
  <c r="J52" i="25"/>
  <c r="G52" i="25"/>
  <c r="K52" i="25" s="1"/>
  <c r="B52" i="25"/>
  <c r="F52" i="25" s="1"/>
  <c r="A52" i="25"/>
  <c r="L51" i="25"/>
  <c r="O51" i="25" s="1"/>
  <c r="G51" i="25"/>
  <c r="I51" i="25" s="1"/>
  <c r="B51" i="25"/>
  <c r="F51" i="25" s="1"/>
  <c r="A51" i="25"/>
  <c r="L50" i="25"/>
  <c r="O50" i="25" s="1"/>
  <c r="G50" i="25"/>
  <c r="K50" i="25" s="1"/>
  <c r="B50" i="25"/>
  <c r="C50" i="25" s="1"/>
  <c r="A50" i="25"/>
  <c r="L49" i="25"/>
  <c r="O49" i="25" s="1"/>
  <c r="J49" i="25"/>
  <c r="H49" i="25"/>
  <c r="G49" i="25"/>
  <c r="I49" i="25" s="1"/>
  <c r="B49" i="25"/>
  <c r="F49" i="25" s="1"/>
  <c r="A49" i="25"/>
  <c r="P48" i="25"/>
  <c r="L48" i="25"/>
  <c r="O48" i="25" s="1"/>
  <c r="G48" i="25"/>
  <c r="K48" i="25" s="1"/>
  <c r="B48" i="25"/>
  <c r="F48" i="25" s="1"/>
  <c r="A48" i="25"/>
  <c r="L47" i="25"/>
  <c r="O47" i="25" s="1"/>
  <c r="J47" i="25"/>
  <c r="G47" i="25"/>
  <c r="I47" i="25" s="1"/>
  <c r="B47" i="25"/>
  <c r="F47" i="25" s="1"/>
  <c r="A47" i="25"/>
  <c r="L46" i="25"/>
  <c r="O46" i="25" s="1"/>
  <c r="J46" i="25"/>
  <c r="H46" i="25"/>
  <c r="G46" i="25"/>
  <c r="K46" i="25" s="1"/>
  <c r="B46" i="25"/>
  <c r="C46" i="25" s="1"/>
  <c r="A46" i="25"/>
  <c r="L45" i="25"/>
  <c r="O45" i="25" s="1"/>
  <c r="G45" i="25"/>
  <c r="I45" i="25" s="1"/>
  <c r="B45" i="25"/>
  <c r="F45" i="25" s="1"/>
  <c r="A45" i="25"/>
  <c r="L44" i="25"/>
  <c r="O44" i="25" s="1"/>
  <c r="J44" i="25"/>
  <c r="G44" i="25"/>
  <c r="K44" i="25" s="1"/>
  <c r="B44" i="25"/>
  <c r="F44" i="25" s="1"/>
  <c r="A44" i="25"/>
  <c r="L43" i="25"/>
  <c r="O43" i="25" s="1"/>
  <c r="G43" i="25"/>
  <c r="I43" i="25" s="1"/>
  <c r="B43" i="25"/>
  <c r="F43" i="25" s="1"/>
  <c r="A43" i="25"/>
  <c r="L42" i="25"/>
  <c r="O42" i="25" s="1"/>
  <c r="G42" i="25"/>
  <c r="K42" i="25" s="1"/>
  <c r="B42" i="25"/>
  <c r="C42" i="25" s="1"/>
  <c r="A42" i="25"/>
  <c r="L41" i="25"/>
  <c r="O41" i="25" s="1"/>
  <c r="J41" i="25"/>
  <c r="H41" i="25"/>
  <c r="G41" i="25"/>
  <c r="I41" i="25" s="1"/>
  <c r="B41" i="25"/>
  <c r="F41" i="25" s="1"/>
  <c r="A41" i="25"/>
  <c r="P40" i="25"/>
  <c r="L40" i="25"/>
  <c r="O40" i="25" s="1"/>
  <c r="G40" i="25"/>
  <c r="K40" i="25" s="1"/>
  <c r="B40" i="25"/>
  <c r="C40" i="25" s="1"/>
  <c r="A40" i="25"/>
  <c r="L39" i="25"/>
  <c r="O39" i="25" s="1"/>
  <c r="J39" i="25"/>
  <c r="H39" i="25"/>
  <c r="G39" i="25"/>
  <c r="I39" i="25" s="1"/>
  <c r="B39" i="25"/>
  <c r="F39" i="25" s="1"/>
  <c r="A39" i="25"/>
  <c r="L38" i="25"/>
  <c r="O38" i="25" s="1"/>
  <c r="J38" i="25"/>
  <c r="H38" i="25"/>
  <c r="G38" i="25"/>
  <c r="K38" i="25" s="1"/>
  <c r="B38" i="25"/>
  <c r="C38" i="25" s="1"/>
  <c r="A38" i="25"/>
  <c r="L37" i="25"/>
  <c r="O37" i="25" s="1"/>
  <c r="G37" i="25"/>
  <c r="I37" i="25" s="1"/>
  <c r="B37" i="25"/>
  <c r="F37" i="25" s="1"/>
  <c r="A37" i="25"/>
  <c r="L60" i="24"/>
  <c r="P60" i="24" s="1"/>
  <c r="G60" i="24"/>
  <c r="H60" i="24" s="1"/>
  <c r="B60" i="24"/>
  <c r="F60" i="24" s="1"/>
  <c r="A60" i="24"/>
  <c r="L59" i="24"/>
  <c r="P59" i="24" s="1"/>
  <c r="G59" i="24"/>
  <c r="H59" i="24" s="1"/>
  <c r="B59" i="24"/>
  <c r="C59" i="24" s="1"/>
  <c r="A59" i="24"/>
  <c r="L58" i="24"/>
  <c r="P58" i="24" s="1"/>
  <c r="G58" i="24"/>
  <c r="H58" i="24" s="1"/>
  <c r="B58" i="24"/>
  <c r="F58" i="24" s="1"/>
  <c r="A58" i="24"/>
  <c r="L57" i="24"/>
  <c r="P57" i="24" s="1"/>
  <c r="G57" i="24"/>
  <c r="H57" i="24" s="1"/>
  <c r="B57" i="24"/>
  <c r="F57" i="24" s="1"/>
  <c r="A57" i="24"/>
  <c r="L56" i="24"/>
  <c r="P56" i="24" s="1"/>
  <c r="G56" i="24"/>
  <c r="H56" i="24" s="1"/>
  <c r="B56" i="24"/>
  <c r="F56" i="24" s="1"/>
  <c r="A56" i="24"/>
  <c r="L55" i="24"/>
  <c r="P55" i="24" s="1"/>
  <c r="G55" i="24"/>
  <c r="H55" i="24" s="1"/>
  <c r="B55" i="24"/>
  <c r="C55" i="24" s="1"/>
  <c r="A55" i="24"/>
  <c r="L54" i="24"/>
  <c r="P54" i="24" s="1"/>
  <c r="G54" i="24"/>
  <c r="H54" i="24" s="1"/>
  <c r="B54" i="24"/>
  <c r="C54" i="24" s="1"/>
  <c r="A54" i="24"/>
  <c r="L53" i="24"/>
  <c r="P53" i="24" s="1"/>
  <c r="G53" i="24"/>
  <c r="H53" i="24" s="1"/>
  <c r="B53" i="24"/>
  <c r="F53" i="24" s="1"/>
  <c r="A53" i="24"/>
  <c r="L52" i="24"/>
  <c r="P52" i="24" s="1"/>
  <c r="G52" i="24"/>
  <c r="H52" i="24" s="1"/>
  <c r="B52" i="24"/>
  <c r="C52" i="24" s="1"/>
  <c r="A52" i="24"/>
  <c r="L51" i="24"/>
  <c r="P51" i="24" s="1"/>
  <c r="G51" i="24"/>
  <c r="H51" i="24" s="1"/>
  <c r="B51" i="24"/>
  <c r="F51" i="24" s="1"/>
  <c r="A51" i="24"/>
  <c r="L50" i="24"/>
  <c r="P50" i="24" s="1"/>
  <c r="G50" i="24"/>
  <c r="H50" i="24" s="1"/>
  <c r="B50" i="24"/>
  <c r="F50" i="24" s="1"/>
  <c r="A50" i="24"/>
  <c r="L49" i="24"/>
  <c r="P49" i="24" s="1"/>
  <c r="G49" i="24"/>
  <c r="H49" i="24" s="1"/>
  <c r="B49" i="24"/>
  <c r="C49" i="24" s="1"/>
  <c r="A49" i="24"/>
  <c r="L48" i="24"/>
  <c r="P48" i="24" s="1"/>
  <c r="G48" i="24"/>
  <c r="H48" i="24" s="1"/>
  <c r="B48" i="24"/>
  <c r="F48" i="24" s="1"/>
  <c r="A48" i="24"/>
  <c r="L47" i="24"/>
  <c r="P47" i="24" s="1"/>
  <c r="G47" i="24"/>
  <c r="H47" i="24" s="1"/>
  <c r="B47" i="24"/>
  <c r="C47" i="24" s="1"/>
  <c r="A47" i="24"/>
  <c r="L46" i="24"/>
  <c r="P46" i="24" s="1"/>
  <c r="G46" i="24"/>
  <c r="H46" i="24" s="1"/>
  <c r="B46" i="24"/>
  <c r="F46" i="24" s="1"/>
  <c r="A46" i="24"/>
  <c r="L45" i="24"/>
  <c r="P45" i="24" s="1"/>
  <c r="G45" i="24"/>
  <c r="H45" i="24" s="1"/>
  <c r="B45" i="24"/>
  <c r="C45" i="24" s="1"/>
  <c r="A45" i="24"/>
  <c r="L44" i="24"/>
  <c r="P44" i="24" s="1"/>
  <c r="G44" i="24"/>
  <c r="H44" i="24" s="1"/>
  <c r="B44" i="24"/>
  <c r="F44" i="24" s="1"/>
  <c r="A44" i="24"/>
  <c r="L43" i="24"/>
  <c r="P43" i="24" s="1"/>
  <c r="G43" i="24"/>
  <c r="H43" i="24" s="1"/>
  <c r="B43" i="24"/>
  <c r="C43" i="24" s="1"/>
  <c r="A43" i="24"/>
  <c r="L42" i="24"/>
  <c r="P42" i="24" s="1"/>
  <c r="G42" i="24"/>
  <c r="H42" i="24" s="1"/>
  <c r="B42" i="24"/>
  <c r="C42" i="24" s="1"/>
  <c r="A42" i="24"/>
  <c r="L41" i="24"/>
  <c r="P41" i="24" s="1"/>
  <c r="G41" i="24"/>
  <c r="H41" i="24" s="1"/>
  <c r="B41" i="24"/>
  <c r="F41" i="24" s="1"/>
  <c r="A41" i="24"/>
  <c r="L40" i="24"/>
  <c r="P40" i="24" s="1"/>
  <c r="G40" i="24"/>
  <c r="H40" i="24" s="1"/>
  <c r="B40" i="24"/>
  <c r="C40" i="24" s="1"/>
  <c r="A40" i="24"/>
  <c r="L39" i="24"/>
  <c r="P39" i="24" s="1"/>
  <c r="G39" i="24"/>
  <c r="H39" i="24" s="1"/>
  <c r="B39" i="24"/>
  <c r="F39" i="24" s="1"/>
  <c r="A39" i="24"/>
  <c r="L38" i="24"/>
  <c r="P38" i="24" s="1"/>
  <c r="G38" i="24"/>
  <c r="H38" i="24" s="1"/>
  <c r="B38" i="24"/>
  <c r="C38" i="24" s="1"/>
  <c r="A38" i="24"/>
  <c r="L37" i="24"/>
  <c r="P37" i="24" s="1"/>
  <c r="G37" i="24"/>
  <c r="H37" i="24" s="1"/>
  <c r="B37" i="24"/>
  <c r="F37" i="24" s="1"/>
  <c r="A37" i="24"/>
  <c r="L60" i="23"/>
  <c r="P60" i="23" s="1"/>
  <c r="G60" i="23"/>
  <c r="H60" i="23" s="1"/>
  <c r="B60" i="23"/>
  <c r="F60" i="23" s="1"/>
  <c r="A60" i="23"/>
  <c r="L59" i="23"/>
  <c r="P59" i="23" s="1"/>
  <c r="G59" i="23"/>
  <c r="H59" i="23" s="1"/>
  <c r="B59" i="23"/>
  <c r="F59" i="23" s="1"/>
  <c r="A59" i="23"/>
  <c r="L58" i="23"/>
  <c r="P58" i="23" s="1"/>
  <c r="G58" i="23"/>
  <c r="H58" i="23" s="1"/>
  <c r="B58" i="23"/>
  <c r="F58" i="23" s="1"/>
  <c r="A58" i="23"/>
  <c r="L57" i="23"/>
  <c r="P57" i="23" s="1"/>
  <c r="G57" i="23"/>
  <c r="H57" i="23" s="1"/>
  <c r="B57" i="23"/>
  <c r="F57" i="23" s="1"/>
  <c r="A57" i="23"/>
  <c r="L56" i="23"/>
  <c r="P56" i="23" s="1"/>
  <c r="J56" i="23"/>
  <c r="G56" i="23"/>
  <c r="H56" i="23" s="1"/>
  <c r="B56" i="23"/>
  <c r="F56" i="23" s="1"/>
  <c r="A56" i="23"/>
  <c r="L55" i="23"/>
  <c r="P55" i="23" s="1"/>
  <c r="G55" i="23"/>
  <c r="H55" i="23" s="1"/>
  <c r="B55" i="23"/>
  <c r="F55" i="23" s="1"/>
  <c r="A55" i="23"/>
  <c r="L54" i="23"/>
  <c r="P54" i="23" s="1"/>
  <c r="G54" i="23"/>
  <c r="H54" i="23" s="1"/>
  <c r="B54" i="23"/>
  <c r="F54" i="23" s="1"/>
  <c r="A54" i="23"/>
  <c r="L53" i="23"/>
  <c r="P53" i="23" s="1"/>
  <c r="G53" i="23"/>
  <c r="H53" i="23" s="1"/>
  <c r="B53" i="23"/>
  <c r="F53" i="23" s="1"/>
  <c r="A53" i="23"/>
  <c r="L52" i="23"/>
  <c r="P52" i="23" s="1"/>
  <c r="K52" i="23"/>
  <c r="G52" i="23"/>
  <c r="H52" i="23" s="1"/>
  <c r="B52" i="23"/>
  <c r="F52" i="23" s="1"/>
  <c r="A52" i="23"/>
  <c r="L51" i="23"/>
  <c r="P51" i="23" s="1"/>
  <c r="G51" i="23"/>
  <c r="H51" i="23" s="1"/>
  <c r="B51" i="23"/>
  <c r="F51" i="23" s="1"/>
  <c r="A51" i="23"/>
  <c r="L50" i="23"/>
  <c r="P50" i="23" s="1"/>
  <c r="G50" i="23"/>
  <c r="H50" i="23" s="1"/>
  <c r="B50" i="23"/>
  <c r="F50" i="23" s="1"/>
  <c r="A50" i="23"/>
  <c r="L49" i="23"/>
  <c r="P49" i="23" s="1"/>
  <c r="G49" i="23"/>
  <c r="H49" i="23" s="1"/>
  <c r="B49" i="23"/>
  <c r="F49" i="23" s="1"/>
  <c r="A49" i="23"/>
  <c r="L48" i="23"/>
  <c r="P48" i="23" s="1"/>
  <c r="G48" i="23"/>
  <c r="H48" i="23" s="1"/>
  <c r="B48" i="23"/>
  <c r="F48" i="23" s="1"/>
  <c r="A48" i="23"/>
  <c r="L47" i="23"/>
  <c r="P47" i="23" s="1"/>
  <c r="I47" i="23"/>
  <c r="G47" i="23"/>
  <c r="H47" i="23" s="1"/>
  <c r="B47" i="23"/>
  <c r="F47" i="23" s="1"/>
  <c r="A47" i="23"/>
  <c r="L46" i="23"/>
  <c r="P46" i="23" s="1"/>
  <c r="G46" i="23"/>
  <c r="H46" i="23" s="1"/>
  <c r="B46" i="23"/>
  <c r="F46" i="23" s="1"/>
  <c r="A46" i="23"/>
  <c r="L45" i="23"/>
  <c r="P45" i="23" s="1"/>
  <c r="G45" i="23"/>
  <c r="H45" i="23" s="1"/>
  <c r="B45" i="23"/>
  <c r="F45" i="23" s="1"/>
  <c r="A45" i="23"/>
  <c r="L44" i="23"/>
  <c r="P44" i="23" s="1"/>
  <c r="G44" i="23"/>
  <c r="H44" i="23" s="1"/>
  <c r="B44" i="23"/>
  <c r="F44" i="23" s="1"/>
  <c r="A44" i="23"/>
  <c r="L43" i="23"/>
  <c r="P43" i="23" s="1"/>
  <c r="G43" i="23"/>
  <c r="H43" i="23" s="1"/>
  <c r="B43" i="23"/>
  <c r="F43" i="23" s="1"/>
  <c r="A43" i="23"/>
  <c r="L42" i="23"/>
  <c r="P42" i="23" s="1"/>
  <c r="G42" i="23"/>
  <c r="H42" i="23" s="1"/>
  <c r="B42" i="23"/>
  <c r="F42" i="23" s="1"/>
  <c r="A42" i="23"/>
  <c r="L41" i="23"/>
  <c r="P41" i="23" s="1"/>
  <c r="G41" i="23"/>
  <c r="H41" i="23" s="1"/>
  <c r="B41" i="23"/>
  <c r="F41" i="23" s="1"/>
  <c r="A41" i="23"/>
  <c r="L40" i="23"/>
  <c r="P40" i="23" s="1"/>
  <c r="K40" i="23"/>
  <c r="G40" i="23"/>
  <c r="H40" i="23" s="1"/>
  <c r="B40" i="23"/>
  <c r="D40" i="23" s="1"/>
  <c r="A40" i="23"/>
  <c r="L39" i="23"/>
  <c r="P39" i="23" s="1"/>
  <c r="G39" i="23"/>
  <c r="H39" i="23" s="1"/>
  <c r="B39" i="23"/>
  <c r="F39" i="23" s="1"/>
  <c r="A39" i="23"/>
  <c r="L38" i="23"/>
  <c r="P38" i="23" s="1"/>
  <c r="G38" i="23"/>
  <c r="H38" i="23" s="1"/>
  <c r="B38" i="23"/>
  <c r="F38" i="23" s="1"/>
  <c r="A38" i="23"/>
  <c r="L37" i="23"/>
  <c r="P37" i="23" s="1"/>
  <c r="G37" i="23"/>
  <c r="H37" i="23" s="1"/>
  <c r="B37" i="23"/>
  <c r="F37" i="23" s="1"/>
  <c r="A37" i="23"/>
  <c r="K37" i="23" l="1"/>
  <c r="J45" i="23"/>
  <c r="I56" i="23"/>
  <c r="I44" i="23"/>
  <c r="K49" i="23"/>
  <c r="J57" i="23"/>
  <c r="J44" i="23"/>
  <c r="K58" i="24"/>
  <c r="I56" i="24"/>
  <c r="J57" i="24"/>
  <c r="K57" i="24"/>
  <c r="I52" i="24"/>
  <c r="K54" i="24"/>
  <c r="J52" i="24"/>
  <c r="J53" i="24"/>
  <c r="J56" i="24"/>
  <c r="J60" i="24"/>
  <c r="K53" i="24"/>
  <c r="H40" i="25"/>
  <c r="H37" i="25"/>
  <c r="J40" i="25"/>
  <c r="H42" i="25"/>
  <c r="J43" i="25"/>
  <c r="P44" i="25"/>
  <c r="H45" i="25"/>
  <c r="J48" i="25"/>
  <c r="H50" i="25"/>
  <c r="J51" i="25"/>
  <c r="P52" i="25"/>
  <c r="H53" i="25"/>
  <c r="J56" i="25"/>
  <c r="H58" i="25"/>
  <c r="J59" i="25"/>
  <c r="P42" i="25"/>
  <c r="H48" i="25"/>
  <c r="J37" i="25"/>
  <c r="P38" i="25"/>
  <c r="J42" i="25"/>
  <c r="H44" i="25"/>
  <c r="J45" i="25"/>
  <c r="P46" i="25"/>
  <c r="H47" i="25"/>
  <c r="J50" i="25"/>
  <c r="H52" i="25"/>
  <c r="J53" i="25"/>
  <c r="P54" i="25"/>
  <c r="H55" i="25"/>
  <c r="J58" i="25"/>
  <c r="H60" i="25"/>
  <c r="H43" i="25"/>
  <c r="P50" i="25"/>
  <c r="H51" i="25"/>
  <c r="H56" i="25"/>
  <c r="I53" i="26"/>
  <c r="K41" i="26"/>
  <c r="K53" i="26"/>
  <c r="J46" i="26"/>
  <c r="K38" i="26"/>
  <c r="J38" i="26"/>
  <c r="I44" i="26"/>
  <c r="K54" i="26"/>
  <c r="J41" i="26"/>
  <c r="K46" i="26"/>
  <c r="J53" i="26"/>
  <c r="E57" i="27"/>
  <c r="E37" i="27"/>
  <c r="H47" i="27"/>
  <c r="H43" i="27"/>
  <c r="J47" i="27"/>
  <c r="H51" i="27"/>
  <c r="H58" i="27"/>
  <c r="H39" i="27"/>
  <c r="J43" i="27"/>
  <c r="E45" i="27"/>
  <c r="H50" i="27"/>
  <c r="J39" i="27"/>
  <c r="I50" i="27"/>
  <c r="I38" i="27"/>
  <c r="I42" i="27"/>
  <c r="H46" i="27"/>
  <c r="J51" i="27"/>
  <c r="E53" i="27"/>
  <c r="H55" i="27"/>
  <c r="I58" i="27"/>
  <c r="I46" i="27"/>
  <c r="J55" i="27"/>
  <c r="H38" i="27"/>
  <c r="E49" i="27"/>
  <c r="H37" i="28"/>
  <c r="J38" i="28"/>
  <c r="P40" i="28"/>
  <c r="H41" i="28"/>
  <c r="J42" i="28"/>
  <c r="P44" i="28"/>
  <c r="H45" i="28"/>
  <c r="J46" i="28"/>
  <c r="P48" i="28"/>
  <c r="H49" i="28"/>
  <c r="J50" i="28"/>
  <c r="P52" i="28"/>
  <c r="H53" i="28"/>
  <c r="J54" i="28"/>
  <c r="P56" i="28"/>
  <c r="H57" i="28"/>
  <c r="J58" i="28"/>
  <c r="J37" i="28"/>
  <c r="J41" i="28"/>
  <c r="J45" i="28"/>
  <c r="J49" i="28"/>
  <c r="J53" i="28"/>
  <c r="J57" i="28"/>
  <c r="P38" i="28"/>
  <c r="H39" i="28"/>
  <c r="P42" i="28"/>
  <c r="H43" i="28"/>
  <c r="P46" i="28"/>
  <c r="H47" i="28"/>
  <c r="P50" i="28"/>
  <c r="H51" i="28"/>
  <c r="P54" i="28"/>
  <c r="H55" i="28"/>
  <c r="P58" i="28"/>
  <c r="H59" i="28"/>
  <c r="I59" i="23"/>
  <c r="I39" i="23"/>
  <c r="J41" i="23"/>
  <c r="I48" i="23"/>
  <c r="I51" i="23"/>
  <c r="J53" i="23"/>
  <c r="I60" i="23"/>
  <c r="I40" i="23"/>
  <c r="K41" i="23"/>
  <c r="J48" i="23"/>
  <c r="I52" i="23"/>
  <c r="K53" i="23"/>
  <c r="J60" i="23"/>
  <c r="J37" i="23"/>
  <c r="J40" i="23"/>
  <c r="I43" i="23"/>
  <c r="K45" i="23"/>
  <c r="J49" i="23"/>
  <c r="J52" i="23"/>
  <c r="I55" i="23"/>
  <c r="K57" i="23"/>
  <c r="I37" i="24"/>
  <c r="I38" i="24"/>
  <c r="I39" i="24"/>
  <c r="I40" i="24"/>
  <c r="I41" i="24"/>
  <c r="I42" i="24"/>
  <c r="I43" i="24"/>
  <c r="I44" i="24"/>
  <c r="I45" i="24"/>
  <c r="I46" i="24"/>
  <c r="I47" i="24"/>
  <c r="I48" i="24"/>
  <c r="I49" i="24"/>
  <c r="O50" i="24"/>
  <c r="I59" i="24"/>
  <c r="J37" i="24"/>
  <c r="J38" i="24"/>
  <c r="J39" i="24"/>
  <c r="J40" i="24"/>
  <c r="J41" i="24"/>
  <c r="J42" i="24"/>
  <c r="J43" i="24"/>
  <c r="J44" i="24"/>
  <c r="J45" i="24"/>
  <c r="J46" i="24"/>
  <c r="J47" i="24"/>
  <c r="J48" i="24"/>
  <c r="J49" i="24"/>
  <c r="J50" i="24"/>
  <c r="J51" i="24"/>
  <c r="K52" i="24"/>
  <c r="I54" i="24"/>
  <c r="J55" i="24"/>
  <c r="K56" i="24"/>
  <c r="I58" i="24"/>
  <c r="J59" i="24"/>
  <c r="K60" i="24"/>
  <c r="O37" i="24"/>
  <c r="O38" i="24"/>
  <c r="O39" i="24"/>
  <c r="O40" i="24"/>
  <c r="O41" i="24"/>
  <c r="O42" i="24"/>
  <c r="O43" i="24"/>
  <c r="O44" i="24"/>
  <c r="O45" i="24"/>
  <c r="O46" i="24"/>
  <c r="O47" i="24"/>
  <c r="O48" i="24"/>
  <c r="O49" i="24"/>
  <c r="I50" i="24"/>
  <c r="I51" i="24"/>
  <c r="I55" i="24"/>
  <c r="K37" i="24"/>
  <c r="K38" i="24"/>
  <c r="K39" i="24"/>
  <c r="K40" i="24"/>
  <c r="K41" i="24"/>
  <c r="K42" i="24"/>
  <c r="K43" i="24"/>
  <c r="K44" i="24"/>
  <c r="K45" i="24"/>
  <c r="K46" i="24"/>
  <c r="K47" i="24"/>
  <c r="K48" i="24"/>
  <c r="K49" i="24"/>
  <c r="K50" i="24"/>
  <c r="K51" i="24"/>
  <c r="I53" i="24"/>
  <c r="J54" i="24"/>
  <c r="K55" i="24"/>
  <c r="I57" i="24"/>
  <c r="J58" i="24"/>
  <c r="K59" i="24"/>
  <c r="I60" i="24"/>
  <c r="P39" i="25"/>
  <c r="K37" i="25"/>
  <c r="I38" i="25"/>
  <c r="N38" i="25"/>
  <c r="K39" i="25"/>
  <c r="I40" i="25"/>
  <c r="N40" i="25"/>
  <c r="K41" i="25"/>
  <c r="I42" i="25"/>
  <c r="N42" i="25"/>
  <c r="K43" i="25"/>
  <c r="I44" i="25"/>
  <c r="N44" i="25"/>
  <c r="K45" i="25"/>
  <c r="I46" i="25"/>
  <c r="N46" i="25"/>
  <c r="K47" i="25"/>
  <c r="I48" i="25"/>
  <c r="N48" i="25"/>
  <c r="K49" i="25"/>
  <c r="I50" i="25"/>
  <c r="N50" i="25"/>
  <c r="K51" i="25"/>
  <c r="I52" i="25"/>
  <c r="N52" i="25"/>
  <c r="K53" i="25"/>
  <c r="I54" i="25"/>
  <c r="N54" i="25"/>
  <c r="K55" i="25"/>
  <c r="I56" i="25"/>
  <c r="N56" i="25"/>
  <c r="K57" i="25"/>
  <c r="I58" i="25"/>
  <c r="N58" i="25"/>
  <c r="K59" i="25"/>
  <c r="I60" i="25"/>
  <c r="N60" i="25"/>
  <c r="P60" i="25"/>
  <c r="N37" i="25"/>
  <c r="N39" i="25"/>
  <c r="N41" i="25"/>
  <c r="N43" i="25"/>
  <c r="N45" i="25"/>
  <c r="N47" i="25"/>
  <c r="N49" i="25"/>
  <c r="N51" i="25"/>
  <c r="N53" i="25"/>
  <c r="N55" i="25"/>
  <c r="N57" i="25"/>
  <c r="N59" i="25"/>
  <c r="P37" i="25"/>
  <c r="P41" i="25"/>
  <c r="P43" i="25"/>
  <c r="P45" i="25"/>
  <c r="P47" i="25"/>
  <c r="P49" i="25"/>
  <c r="P51" i="25"/>
  <c r="P53" i="25"/>
  <c r="P55" i="25"/>
  <c r="P57" i="25"/>
  <c r="P59" i="25"/>
  <c r="I37" i="26"/>
  <c r="I45" i="26"/>
  <c r="K55" i="26"/>
  <c r="J58" i="26"/>
  <c r="J42" i="26"/>
  <c r="I48" i="26"/>
  <c r="J50" i="26"/>
  <c r="I57" i="26"/>
  <c r="K59" i="26"/>
  <c r="J37" i="26"/>
  <c r="I40" i="26"/>
  <c r="J45" i="26"/>
  <c r="K37" i="26"/>
  <c r="I41" i="26"/>
  <c r="K42" i="26"/>
  <c r="K45" i="26"/>
  <c r="I49" i="26"/>
  <c r="K50" i="26"/>
  <c r="J54" i="26"/>
  <c r="J57" i="26"/>
  <c r="H37" i="27"/>
  <c r="J38" i="27"/>
  <c r="E39" i="27"/>
  <c r="H40" i="27"/>
  <c r="H41" i="27"/>
  <c r="J42" i="27"/>
  <c r="E43" i="27"/>
  <c r="H44" i="27"/>
  <c r="H45" i="27"/>
  <c r="J46" i="27"/>
  <c r="E47" i="27"/>
  <c r="H48" i="27"/>
  <c r="H49" i="27"/>
  <c r="J50" i="27"/>
  <c r="E51" i="27"/>
  <c r="H52" i="27"/>
  <c r="H53" i="27"/>
  <c r="J54" i="27"/>
  <c r="E55" i="27"/>
  <c r="H56" i="27"/>
  <c r="H57" i="27"/>
  <c r="J58" i="27"/>
  <c r="E59" i="27"/>
  <c r="H60" i="27"/>
  <c r="J37" i="27"/>
  <c r="I40" i="27"/>
  <c r="J41" i="27"/>
  <c r="I44" i="27"/>
  <c r="J45" i="27"/>
  <c r="I48" i="27"/>
  <c r="J49" i="27"/>
  <c r="I52" i="27"/>
  <c r="J53" i="27"/>
  <c r="I56" i="27"/>
  <c r="J57" i="27"/>
  <c r="I60" i="27"/>
  <c r="J40" i="27"/>
  <c r="H42" i="27"/>
  <c r="J44" i="27"/>
  <c r="J48" i="27"/>
  <c r="J52" i="27"/>
  <c r="J56" i="27"/>
  <c r="J60" i="27"/>
  <c r="K39" i="26"/>
  <c r="K43" i="26"/>
  <c r="K47" i="26"/>
  <c r="K51" i="26"/>
  <c r="I52" i="26"/>
  <c r="I56" i="26"/>
  <c r="K58" i="26"/>
  <c r="I60" i="26"/>
  <c r="I39" i="26"/>
  <c r="J40" i="26"/>
  <c r="I43" i="26"/>
  <c r="J44" i="26"/>
  <c r="I47" i="26"/>
  <c r="J48" i="26"/>
  <c r="I51" i="26"/>
  <c r="J52" i="26"/>
  <c r="I55" i="26"/>
  <c r="J56" i="26"/>
  <c r="I59" i="26"/>
  <c r="J60" i="26"/>
  <c r="I38" i="26"/>
  <c r="J39" i="26"/>
  <c r="K40" i="26"/>
  <c r="I42" i="26"/>
  <c r="J43" i="26"/>
  <c r="K44" i="26"/>
  <c r="I46" i="26"/>
  <c r="J47" i="26"/>
  <c r="K48" i="26"/>
  <c r="I50" i="26"/>
  <c r="J51" i="26"/>
  <c r="K52" i="26"/>
  <c r="I54" i="26"/>
  <c r="J55" i="26"/>
  <c r="K56" i="26"/>
  <c r="I58" i="26"/>
  <c r="J59" i="26"/>
  <c r="K60" i="26"/>
  <c r="K37" i="27"/>
  <c r="D38" i="27"/>
  <c r="K39" i="27"/>
  <c r="D40" i="27"/>
  <c r="K41" i="27"/>
  <c r="D42" i="27"/>
  <c r="K43" i="27"/>
  <c r="D44" i="27"/>
  <c r="K45" i="27"/>
  <c r="D46" i="27"/>
  <c r="K47" i="27"/>
  <c r="D48" i="27"/>
  <c r="K49" i="27"/>
  <c r="D50" i="27"/>
  <c r="K51" i="27"/>
  <c r="D52" i="27"/>
  <c r="K53" i="27"/>
  <c r="D54" i="27"/>
  <c r="K55" i="27"/>
  <c r="D56" i="27"/>
  <c r="K57" i="27"/>
  <c r="D58" i="27"/>
  <c r="K59" i="27"/>
  <c r="D60" i="27"/>
  <c r="E38" i="27"/>
  <c r="E40" i="27"/>
  <c r="E42" i="27"/>
  <c r="E44" i="27"/>
  <c r="E46" i="27"/>
  <c r="E48" i="27"/>
  <c r="E50" i="27"/>
  <c r="E52" i="27"/>
  <c r="E54" i="27"/>
  <c r="E56" i="27"/>
  <c r="E58" i="27"/>
  <c r="E60" i="27"/>
  <c r="D37" i="27"/>
  <c r="D39" i="27"/>
  <c r="D41" i="27"/>
  <c r="D43" i="27"/>
  <c r="D45" i="27"/>
  <c r="D47" i="27"/>
  <c r="D49" i="27"/>
  <c r="D51" i="27"/>
  <c r="D53" i="27"/>
  <c r="D55" i="27"/>
  <c r="D57" i="27"/>
  <c r="D59" i="27"/>
  <c r="I38" i="23"/>
  <c r="J39" i="23"/>
  <c r="I42" i="23"/>
  <c r="J43" i="23"/>
  <c r="K44" i="23"/>
  <c r="I46" i="23"/>
  <c r="J47" i="23"/>
  <c r="K48" i="23"/>
  <c r="I50" i="23"/>
  <c r="J51" i="23"/>
  <c r="I54" i="23"/>
  <c r="J55" i="23"/>
  <c r="K56" i="23"/>
  <c r="I58" i="23"/>
  <c r="J59" i="23"/>
  <c r="K60" i="23"/>
  <c r="I37" i="23"/>
  <c r="J38" i="23"/>
  <c r="K39" i="23"/>
  <c r="I41" i="23"/>
  <c r="J42" i="23"/>
  <c r="K43" i="23"/>
  <c r="I45" i="23"/>
  <c r="J46" i="23"/>
  <c r="K47" i="23"/>
  <c r="I49" i="23"/>
  <c r="J50" i="23"/>
  <c r="K51" i="23"/>
  <c r="I53" i="23"/>
  <c r="J54" i="23"/>
  <c r="K55" i="23"/>
  <c r="I57" i="23"/>
  <c r="J58" i="23"/>
  <c r="K59" i="23"/>
  <c r="K38" i="23"/>
  <c r="K42" i="23"/>
  <c r="K46" i="23"/>
  <c r="K50" i="23"/>
  <c r="K54" i="23"/>
  <c r="K58" i="23"/>
  <c r="I37" i="28"/>
  <c r="I38" i="28"/>
  <c r="I39" i="28"/>
  <c r="I40" i="28"/>
  <c r="I41" i="28"/>
  <c r="I42" i="28"/>
  <c r="I43" i="28"/>
  <c r="I44" i="28"/>
  <c r="I45" i="28"/>
  <c r="I46" i="28"/>
  <c r="I47" i="28"/>
  <c r="I48" i="28"/>
  <c r="I49" i="28"/>
  <c r="I50" i="28"/>
  <c r="I51" i="28"/>
  <c r="I52" i="28"/>
  <c r="I53" i="28"/>
  <c r="I54" i="28"/>
  <c r="I55" i="28"/>
  <c r="I56" i="28"/>
  <c r="I57" i="28"/>
  <c r="I58" i="28"/>
  <c r="I59" i="28"/>
  <c r="I60" i="28"/>
  <c r="C37" i="28"/>
  <c r="C38" i="28"/>
  <c r="C39" i="28"/>
  <c r="C40" i="28"/>
  <c r="C41" i="28"/>
  <c r="C42" i="28"/>
  <c r="C43" i="28"/>
  <c r="C44" i="28"/>
  <c r="C45" i="28"/>
  <c r="C46" i="28"/>
  <c r="C47" i="28"/>
  <c r="C48" i="28"/>
  <c r="C49" i="28"/>
  <c r="C50" i="28"/>
  <c r="C51" i="28"/>
  <c r="C52" i="28"/>
  <c r="C53" i="28"/>
  <c r="C54" i="28"/>
  <c r="C55" i="28"/>
  <c r="C56" i="28"/>
  <c r="C57" i="28"/>
  <c r="C58" i="28"/>
  <c r="C59" i="28"/>
  <c r="C60" i="28"/>
  <c r="D39" i="28"/>
  <c r="D40" i="28"/>
  <c r="D41" i="28"/>
  <c r="D42" i="28"/>
  <c r="D43" i="28"/>
  <c r="D44" i="28"/>
  <c r="D45" i="28"/>
  <c r="D46" i="28"/>
  <c r="D47" i="28"/>
  <c r="D48" i="28"/>
  <c r="D49" i="28"/>
  <c r="D50" i="28"/>
  <c r="D51" i="28"/>
  <c r="D52" i="28"/>
  <c r="D53" i="28"/>
  <c r="D54" i="28"/>
  <c r="D55" i="28"/>
  <c r="D56" i="28"/>
  <c r="D57" i="28"/>
  <c r="D58" i="28"/>
  <c r="D59" i="28"/>
  <c r="D60" i="28"/>
  <c r="D38" i="28"/>
  <c r="E37" i="28"/>
  <c r="M37" i="28"/>
  <c r="E38" i="28"/>
  <c r="M38" i="28"/>
  <c r="E39" i="28"/>
  <c r="M39" i="28"/>
  <c r="E40" i="28"/>
  <c r="M40" i="28"/>
  <c r="E41" i="28"/>
  <c r="M41" i="28"/>
  <c r="E42" i="28"/>
  <c r="M42" i="28"/>
  <c r="E43" i="28"/>
  <c r="M43" i="28"/>
  <c r="E44" i="28"/>
  <c r="M44" i="28"/>
  <c r="E45" i="28"/>
  <c r="M45" i="28"/>
  <c r="E46" i="28"/>
  <c r="M46" i="28"/>
  <c r="E47" i="28"/>
  <c r="M47" i="28"/>
  <c r="E48" i="28"/>
  <c r="M48" i="28"/>
  <c r="E49" i="28"/>
  <c r="M49" i="28"/>
  <c r="E50" i="28"/>
  <c r="M50" i="28"/>
  <c r="E51" i="28"/>
  <c r="M51" i="28"/>
  <c r="E52" i="28"/>
  <c r="M52" i="28"/>
  <c r="E53" i="28"/>
  <c r="M53" i="28"/>
  <c r="E54" i="28"/>
  <c r="M54" i="28"/>
  <c r="E55" i="28"/>
  <c r="M55" i="28"/>
  <c r="E56" i="28"/>
  <c r="M56" i="28"/>
  <c r="E57" i="28"/>
  <c r="M57" i="28"/>
  <c r="E58" i="28"/>
  <c r="M58" i="28"/>
  <c r="E59" i="28"/>
  <c r="M59" i="28"/>
  <c r="E60" i="28"/>
  <c r="M60" i="28"/>
  <c r="D37" i="28"/>
  <c r="N37" i="28"/>
  <c r="N38" i="28"/>
  <c r="N39" i="28"/>
  <c r="N40" i="28"/>
  <c r="N41" i="28"/>
  <c r="N42" i="28"/>
  <c r="N43" i="28"/>
  <c r="N44" i="28"/>
  <c r="N45" i="28"/>
  <c r="N46" i="28"/>
  <c r="N47" i="28"/>
  <c r="N48" i="28"/>
  <c r="N49" i="28"/>
  <c r="N50" i="28"/>
  <c r="N51" i="28"/>
  <c r="N52" i="28"/>
  <c r="N53" i="28"/>
  <c r="N54" i="28"/>
  <c r="N55" i="28"/>
  <c r="N56" i="28"/>
  <c r="N57" i="28"/>
  <c r="N58" i="28"/>
  <c r="N59" i="28"/>
  <c r="N60" i="28"/>
  <c r="O60" i="28"/>
  <c r="C37" i="27"/>
  <c r="C38" i="27"/>
  <c r="C39" i="27"/>
  <c r="C40" i="27"/>
  <c r="C41" i="27"/>
  <c r="C42" i="27"/>
  <c r="C43" i="27"/>
  <c r="C44" i="27"/>
  <c r="C45" i="27"/>
  <c r="C46" i="27"/>
  <c r="C47" i="27"/>
  <c r="C48" i="27"/>
  <c r="C49" i="27"/>
  <c r="C50" i="27"/>
  <c r="C51" i="27"/>
  <c r="C52" i="27"/>
  <c r="C53" i="27"/>
  <c r="C54" i="27"/>
  <c r="C55" i="27"/>
  <c r="C56" i="27"/>
  <c r="C57" i="27"/>
  <c r="C58" i="27"/>
  <c r="C59" i="27"/>
  <c r="C60" i="27"/>
  <c r="M37" i="27"/>
  <c r="M39" i="27"/>
  <c r="M40" i="27"/>
  <c r="M41" i="27"/>
  <c r="M42" i="27"/>
  <c r="M43" i="27"/>
  <c r="M44" i="27"/>
  <c r="M45" i="27"/>
  <c r="M46" i="27"/>
  <c r="M47" i="27"/>
  <c r="M48" i="27"/>
  <c r="M49" i="27"/>
  <c r="M50" i="27"/>
  <c r="M51" i="27"/>
  <c r="M52" i="27"/>
  <c r="M53" i="27"/>
  <c r="M54" i="27"/>
  <c r="M55" i="27"/>
  <c r="M56" i="27"/>
  <c r="M57" i="27"/>
  <c r="M58" i="27"/>
  <c r="M59" i="27"/>
  <c r="M60" i="27"/>
  <c r="M38" i="27"/>
  <c r="N37" i="27"/>
  <c r="N38" i="27"/>
  <c r="N39" i="27"/>
  <c r="N40" i="27"/>
  <c r="N41" i="27"/>
  <c r="N42" i="27"/>
  <c r="N43" i="27"/>
  <c r="N44" i="27"/>
  <c r="N45" i="27"/>
  <c r="N46" i="27"/>
  <c r="N47" i="27"/>
  <c r="N48" i="27"/>
  <c r="N49" i="27"/>
  <c r="N50" i="27"/>
  <c r="N51" i="27"/>
  <c r="N52" i="27"/>
  <c r="N53" i="27"/>
  <c r="N54" i="27"/>
  <c r="N55" i="27"/>
  <c r="N56" i="27"/>
  <c r="N57" i="27"/>
  <c r="N58" i="27"/>
  <c r="N59" i="27"/>
  <c r="N60" i="27"/>
  <c r="O37" i="27"/>
  <c r="O38" i="27"/>
  <c r="O39" i="27"/>
  <c r="O40" i="27"/>
  <c r="O41" i="27"/>
  <c r="O42" i="27"/>
  <c r="O43" i="27"/>
  <c r="O44" i="27"/>
  <c r="O45" i="27"/>
  <c r="O46" i="27"/>
  <c r="O47" i="27"/>
  <c r="O48" i="27"/>
  <c r="O49" i="27"/>
  <c r="O50" i="27"/>
  <c r="O51" i="27"/>
  <c r="O52" i="27"/>
  <c r="O53" i="27"/>
  <c r="O54" i="27"/>
  <c r="O55" i="27"/>
  <c r="O56" i="27"/>
  <c r="O57" i="27"/>
  <c r="O58" i="27"/>
  <c r="O59" i="27"/>
  <c r="O60" i="27"/>
  <c r="C37" i="26"/>
  <c r="C39" i="26"/>
  <c r="C48" i="26"/>
  <c r="C50" i="26"/>
  <c r="C55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C40" i="26"/>
  <c r="C43" i="26"/>
  <c r="C45" i="26"/>
  <c r="C46" i="26"/>
  <c r="C53" i="26"/>
  <c r="C58" i="26"/>
  <c r="C60" i="26"/>
  <c r="E37" i="26"/>
  <c r="M37" i="26"/>
  <c r="E38" i="26"/>
  <c r="M38" i="26"/>
  <c r="E39" i="26"/>
  <c r="M39" i="26"/>
  <c r="E40" i="26"/>
  <c r="M40" i="26"/>
  <c r="E41" i="26"/>
  <c r="M41" i="26"/>
  <c r="E42" i="26"/>
  <c r="M42" i="26"/>
  <c r="E43" i="26"/>
  <c r="M43" i="26"/>
  <c r="E44" i="26"/>
  <c r="M44" i="26"/>
  <c r="E45" i="26"/>
  <c r="M45" i="26"/>
  <c r="E46" i="26"/>
  <c r="M46" i="26"/>
  <c r="E47" i="26"/>
  <c r="M47" i="26"/>
  <c r="E48" i="26"/>
  <c r="M48" i="26"/>
  <c r="E49" i="26"/>
  <c r="M49" i="26"/>
  <c r="E50" i="26"/>
  <c r="M50" i="26"/>
  <c r="E51" i="26"/>
  <c r="M51" i="26"/>
  <c r="E52" i="26"/>
  <c r="M52" i="26"/>
  <c r="E53" i="26"/>
  <c r="M53" i="26"/>
  <c r="E54" i="26"/>
  <c r="M54" i="26"/>
  <c r="E55" i="26"/>
  <c r="M55" i="26"/>
  <c r="E56" i="26"/>
  <c r="M56" i="26"/>
  <c r="E57" i="26"/>
  <c r="M57" i="26"/>
  <c r="E58" i="26"/>
  <c r="M58" i="26"/>
  <c r="E59" i="26"/>
  <c r="M59" i="26"/>
  <c r="E60" i="26"/>
  <c r="M60" i="26"/>
  <c r="C41" i="26"/>
  <c r="C47" i="26"/>
  <c r="C49" i="26"/>
  <c r="C52" i="26"/>
  <c r="C57" i="26"/>
  <c r="C59" i="26"/>
  <c r="N37" i="26"/>
  <c r="F38" i="26"/>
  <c r="N38" i="26"/>
  <c r="N39" i="26"/>
  <c r="N40" i="26"/>
  <c r="N41" i="26"/>
  <c r="F42" i="26"/>
  <c r="N42" i="26"/>
  <c r="N43" i="26"/>
  <c r="F44" i="26"/>
  <c r="N44" i="26"/>
  <c r="N45" i="26"/>
  <c r="N46" i="26"/>
  <c r="N47" i="26"/>
  <c r="N48" i="26"/>
  <c r="N49" i="26"/>
  <c r="N50" i="26"/>
  <c r="F51" i="26"/>
  <c r="N51" i="26"/>
  <c r="N52" i="26"/>
  <c r="N53" i="26"/>
  <c r="F54" i="26"/>
  <c r="N54" i="26"/>
  <c r="N55" i="26"/>
  <c r="F56" i="26"/>
  <c r="N56" i="26"/>
  <c r="N57" i="26"/>
  <c r="N58" i="26"/>
  <c r="N59" i="26"/>
  <c r="N60" i="26"/>
  <c r="O37" i="26"/>
  <c r="O38" i="26"/>
  <c r="O39" i="26"/>
  <c r="O40" i="26"/>
  <c r="O41" i="26"/>
  <c r="O42" i="26"/>
  <c r="O43" i="26"/>
  <c r="O44" i="26"/>
  <c r="O45" i="26"/>
  <c r="O46" i="26"/>
  <c r="O47" i="26"/>
  <c r="O48" i="26"/>
  <c r="O49" i="26"/>
  <c r="O50" i="26"/>
  <c r="O51" i="26"/>
  <c r="O52" i="26"/>
  <c r="O53" i="26"/>
  <c r="O54" i="26"/>
  <c r="O55" i="26"/>
  <c r="O56" i="26"/>
  <c r="O57" i="26"/>
  <c r="O58" i="26"/>
  <c r="O59" i="26"/>
  <c r="O60" i="26"/>
  <c r="C39" i="25"/>
  <c r="C48" i="25"/>
  <c r="C58" i="25"/>
  <c r="C44" i="25"/>
  <c r="C47" i="25"/>
  <c r="C49" i="25"/>
  <c r="C52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C55" i="25"/>
  <c r="C57" i="25"/>
  <c r="C60" i="25"/>
  <c r="E37" i="25"/>
  <c r="M37" i="25"/>
  <c r="E38" i="25"/>
  <c r="M38" i="25"/>
  <c r="E39" i="25"/>
  <c r="M39" i="25"/>
  <c r="E40" i="25"/>
  <c r="M40" i="25"/>
  <c r="E41" i="25"/>
  <c r="M41" i="25"/>
  <c r="E42" i="25"/>
  <c r="M42" i="25"/>
  <c r="E43" i="25"/>
  <c r="M43" i="25"/>
  <c r="E44" i="25"/>
  <c r="M44" i="25"/>
  <c r="E45" i="25"/>
  <c r="M45" i="25"/>
  <c r="E46" i="25"/>
  <c r="M46" i="25"/>
  <c r="E47" i="25"/>
  <c r="M47" i="25"/>
  <c r="E48" i="25"/>
  <c r="M48" i="25"/>
  <c r="E49" i="25"/>
  <c r="M49" i="25"/>
  <c r="E50" i="25"/>
  <c r="M50" i="25"/>
  <c r="E51" i="25"/>
  <c r="M51" i="25"/>
  <c r="E52" i="25"/>
  <c r="M52" i="25"/>
  <c r="E53" i="25"/>
  <c r="M53" i="25"/>
  <c r="E54" i="25"/>
  <c r="M54" i="25"/>
  <c r="E55" i="25"/>
  <c r="M55" i="25"/>
  <c r="E56" i="25"/>
  <c r="M56" i="25"/>
  <c r="E57" i="25"/>
  <c r="M57" i="25"/>
  <c r="E58" i="25"/>
  <c r="M58" i="25"/>
  <c r="E59" i="25"/>
  <c r="M59" i="25"/>
  <c r="E60" i="25"/>
  <c r="M60" i="25"/>
  <c r="C37" i="25"/>
  <c r="C41" i="25"/>
  <c r="C43" i="25"/>
  <c r="C45" i="25"/>
  <c r="C51" i="25"/>
  <c r="C53" i="25"/>
  <c r="C56" i="25"/>
  <c r="C59" i="25"/>
  <c r="F38" i="25"/>
  <c r="F40" i="25"/>
  <c r="F42" i="25"/>
  <c r="F46" i="25"/>
  <c r="F50" i="25"/>
  <c r="F54" i="25"/>
  <c r="C41" i="24"/>
  <c r="C44" i="24"/>
  <c r="C46" i="24"/>
  <c r="C48" i="24"/>
  <c r="C50" i="24"/>
  <c r="C53" i="24"/>
  <c r="C57" i="24"/>
  <c r="D37" i="24"/>
  <c r="D38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C51" i="24"/>
  <c r="C58" i="24"/>
  <c r="C60" i="24"/>
  <c r="E37" i="24"/>
  <c r="M37" i="24"/>
  <c r="E38" i="24"/>
  <c r="M38" i="24"/>
  <c r="E39" i="24"/>
  <c r="M39" i="24"/>
  <c r="E40" i="24"/>
  <c r="M40" i="24"/>
  <c r="E41" i="24"/>
  <c r="M41" i="24"/>
  <c r="E42" i="24"/>
  <c r="M42" i="24"/>
  <c r="E43" i="24"/>
  <c r="M43" i="24"/>
  <c r="E44" i="24"/>
  <c r="M44" i="24"/>
  <c r="E45" i="24"/>
  <c r="M45" i="24"/>
  <c r="E46" i="24"/>
  <c r="M46" i="24"/>
  <c r="E47" i="24"/>
  <c r="M47" i="24"/>
  <c r="E48" i="24"/>
  <c r="M48" i="24"/>
  <c r="E49" i="24"/>
  <c r="M49" i="24"/>
  <c r="E50" i="24"/>
  <c r="M50" i="24"/>
  <c r="E51" i="24"/>
  <c r="M51" i="24"/>
  <c r="E52" i="24"/>
  <c r="M52" i="24"/>
  <c r="E53" i="24"/>
  <c r="M53" i="24"/>
  <c r="E54" i="24"/>
  <c r="M54" i="24"/>
  <c r="E55" i="24"/>
  <c r="M55" i="24"/>
  <c r="E56" i="24"/>
  <c r="M56" i="24"/>
  <c r="E57" i="24"/>
  <c r="M57" i="24"/>
  <c r="E58" i="24"/>
  <c r="M58" i="24"/>
  <c r="E59" i="24"/>
  <c r="M59" i="24"/>
  <c r="E60" i="24"/>
  <c r="M60" i="24"/>
  <c r="C37" i="24"/>
  <c r="C39" i="24"/>
  <c r="C56" i="24"/>
  <c r="N37" i="24"/>
  <c r="F38" i="24"/>
  <c r="N38" i="24"/>
  <c r="N39" i="24"/>
  <c r="F40" i="24"/>
  <c r="N40" i="24"/>
  <c r="N41" i="24"/>
  <c r="F42" i="24"/>
  <c r="N42" i="24"/>
  <c r="F43" i="24"/>
  <c r="N43" i="24"/>
  <c r="N44" i="24"/>
  <c r="F45" i="24"/>
  <c r="N45" i="24"/>
  <c r="N46" i="24"/>
  <c r="F47" i="24"/>
  <c r="N47" i="24"/>
  <c r="N48" i="24"/>
  <c r="F49" i="24"/>
  <c r="N49" i="24"/>
  <c r="N50" i="24"/>
  <c r="N51" i="24"/>
  <c r="F52" i="24"/>
  <c r="N52" i="24"/>
  <c r="N53" i="24"/>
  <c r="F54" i="24"/>
  <c r="N54" i="24"/>
  <c r="F55" i="24"/>
  <c r="N55" i="24"/>
  <c r="N56" i="24"/>
  <c r="N57" i="24"/>
  <c r="N58" i="24"/>
  <c r="F59" i="24"/>
  <c r="N59" i="24"/>
  <c r="N60" i="24"/>
  <c r="O51" i="24"/>
  <c r="O52" i="24"/>
  <c r="O53" i="24"/>
  <c r="O54" i="24"/>
  <c r="O55" i="24"/>
  <c r="O56" i="24"/>
  <c r="O57" i="24"/>
  <c r="O58" i="24"/>
  <c r="O59" i="24"/>
  <c r="O60" i="24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D37" i="23"/>
  <c r="D38" i="23"/>
  <c r="D39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41" i="23"/>
  <c r="E37" i="23"/>
  <c r="M37" i="23"/>
  <c r="E38" i="23"/>
  <c r="M38" i="23"/>
  <c r="E39" i="23"/>
  <c r="M39" i="23"/>
  <c r="E40" i="23"/>
  <c r="M40" i="23"/>
  <c r="E41" i="23"/>
  <c r="M41" i="23"/>
  <c r="E42" i="23"/>
  <c r="M42" i="23"/>
  <c r="E43" i="23"/>
  <c r="M43" i="23"/>
  <c r="E44" i="23"/>
  <c r="M44" i="23"/>
  <c r="E45" i="23"/>
  <c r="M45" i="23"/>
  <c r="E46" i="23"/>
  <c r="M46" i="23"/>
  <c r="E47" i="23"/>
  <c r="M47" i="23"/>
  <c r="E48" i="23"/>
  <c r="M48" i="23"/>
  <c r="E49" i="23"/>
  <c r="M49" i="23"/>
  <c r="E50" i="23"/>
  <c r="M50" i="23"/>
  <c r="E51" i="23"/>
  <c r="M51" i="23"/>
  <c r="E52" i="23"/>
  <c r="M52" i="23"/>
  <c r="E53" i="23"/>
  <c r="M53" i="23"/>
  <c r="E54" i="23"/>
  <c r="M54" i="23"/>
  <c r="E55" i="23"/>
  <c r="M55" i="23"/>
  <c r="E56" i="23"/>
  <c r="M56" i="23"/>
  <c r="E57" i="23"/>
  <c r="M57" i="23"/>
  <c r="E58" i="23"/>
  <c r="M58" i="23"/>
  <c r="E59" i="23"/>
  <c r="M59" i="23"/>
  <c r="E60" i="23"/>
  <c r="M60" i="23"/>
  <c r="D42" i="23"/>
  <c r="N37" i="23"/>
  <c r="N38" i="23"/>
  <c r="N39" i="23"/>
  <c r="F40" i="23"/>
  <c r="N40" i="23"/>
  <c r="N41" i="23"/>
  <c r="N42" i="23"/>
  <c r="N43" i="23"/>
  <c r="N44" i="23"/>
  <c r="N45" i="23"/>
  <c r="N46" i="23"/>
  <c r="N47" i="23"/>
  <c r="N48" i="23"/>
  <c r="N49" i="23"/>
  <c r="N50" i="23"/>
  <c r="N51" i="23"/>
  <c r="N52" i="23"/>
  <c r="N53" i="23"/>
  <c r="N54" i="23"/>
  <c r="N55" i="23"/>
  <c r="N56" i="23"/>
  <c r="N57" i="23"/>
  <c r="N58" i="23"/>
  <c r="N59" i="23"/>
  <c r="N60" i="23"/>
  <c r="O37" i="23"/>
  <c r="O38" i="23"/>
  <c r="O39" i="23"/>
  <c r="O40" i="23"/>
  <c r="O41" i="23"/>
  <c r="O42" i="23"/>
  <c r="O43" i="23"/>
  <c r="O44" i="23"/>
  <c r="O45" i="23"/>
  <c r="O46" i="23"/>
  <c r="O47" i="23"/>
  <c r="O48" i="23"/>
  <c r="O49" i="23"/>
  <c r="O50" i="23"/>
  <c r="O51" i="23"/>
  <c r="O52" i="23"/>
  <c r="O53" i="23"/>
  <c r="O54" i="23"/>
  <c r="O55" i="23"/>
  <c r="O56" i="23"/>
  <c r="O57" i="23"/>
  <c r="O58" i="23"/>
  <c r="O59" i="23"/>
  <c r="O60" i="23"/>
  <c r="L60" i="22" l="1"/>
  <c r="P60" i="22" s="1"/>
  <c r="G60" i="22"/>
  <c r="H60" i="22" s="1"/>
  <c r="B60" i="22"/>
  <c r="F60" i="22" s="1"/>
  <c r="A60" i="22"/>
  <c r="L59" i="22"/>
  <c r="P59" i="22" s="1"/>
  <c r="G59" i="22"/>
  <c r="H59" i="22" s="1"/>
  <c r="B59" i="22"/>
  <c r="F59" i="22" s="1"/>
  <c r="A59" i="22"/>
  <c r="L58" i="22"/>
  <c r="P58" i="22" s="1"/>
  <c r="G58" i="22"/>
  <c r="H58" i="22" s="1"/>
  <c r="B58" i="22"/>
  <c r="F58" i="22" s="1"/>
  <c r="A58" i="22"/>
  <c r="L57" i="22"/>
  <c r="P57" i="22" s="1"/>
  <c r="G57" i="22"/>
  <c r="H57" i="22" s="1"/>
  <c r="B57" i="22"/>
  <c r="F57" i="22" s="1"/>
  <c r="A57" i="22"/>
  <c r="L56" i="22"/>
  <c r="P56" i="22" s="1"/>
  <c r="G56" i="22"/>
  <c r="H56" i="22" s="1"/>
  <c r="B56" i="22"/>
  <c r="F56" i="22" s="1"/>
  <c r="A56" i="22"/>
  <c r="L55" i="22"/>
  <c r="P55" i="22" s="1"/>
  <c r="G55" i="22"/>
  <c r="H55" i="22" s="1"/>
  <c r="B55" i="22"/>
  <c r="F55" i="22" s="1"/>
  <c r="A55" i="22"/>
  <c r="L54" i="22"/>
  <c r="P54" i="22" s="1"/>
  <c r="G54" i="22"/>
  <c r="H54" i="22" s="1"/>
  <c r="B54" i="22"/>
  <c r="F54" i="22" s="1"/>
  <c r="A54" i="22"/>
  <c r="L53" i="22"/>
  <c r="P53" i="22" s="1"/>
  <c r="G53" i="22"/>
  <c r="H53" i="22" s="1"/>
  <c r="B53" i="22"/>
  <c r="F53" i="22" s="1"/>
  <c r="A53" i="22"/>
  <c r="L52" i="22"/>
  <c r="P52" i="22" s="1"/>
  <c r="G52" i="22"/>
  <c r="H52" i="22" s="1"/>
  <c r="B52" i="22"/>
  <c r="F52" i="22" s="1"/>
  <c r="A52" i="22"/>
  <c r="L51" i="22"/>
  <c r="P51" i="22" s="1"/>
  <c r="G51" i="22"/>
  <c r="H51" i="22" s="1"/>
  <c r="B51" i="22"/>
  <c r="F51" i="22" s="1"/>
  <c r="A51" i="22"/>
  <c r="L50" i="22"/>
  <c r="P50" i="22" s="1"/>
  <c r="G50" i="22"/>
  <c r="H50" i="22" s="1"/>
  <c r="B50" i="22"/>
  <c r="F50" i="22" s="1"/>
  <c r="A50" i="22"/>
  <c r="L49" i="22"/>
  <c r="P49" i="22" s="1"/>
  <c r="G49" i="22"/>
  <c r="H49" i="22" s="1"/>
  <c r="B49" i="22"/>
  <c r="F49" i="22" s="1"/>
  <c r="A49" i="22"/>
  <c r="L48" i="22"/>
  <c r="P48" i="22" s="1"/>
  <c r="G48" i="22"/>
  <c r="H48" i="22" s="1"/>
  <c r="B48" i="22"/>
  <c r="F48" i="22" s="1"/>
  <c r="A48" i="22"/>
  <c r="L47" i="22"/>
  <c r="P47" i="22" s="1"/>
  <c r="G47" i="22"/>
  <c r="H47" i="22" s="1"/>
  <c r="B47" i="22"/>
  <c r="F47" i="22" s="1"/>
  <c r="A47" i="22"/>
  <c r="L46" i="22"/>
  <c r="P46" i="22" s="1"/>
  <c r="G46" i="22"/>
  <c r="H46" i="22" s="1"/>
  <c r="B46" i="22"/>
  <c r="F46" i="22" s="1"/>
  <c r="A46" i="22"/>
  <c r="L45" i="22"/>
  <c r="P45" i="22" s="1"/>
  <c r="G45" i="22"/>
  <c r="H45" i="22" s="1"/>
  <c r="B45" i="22"/>
  <c r="F45" i="22" s="1"/>
  <c r="A45" i="22"/>
  <c r="L44" i="22"/>
  <c r="P44" i="22" s="1"/>
  <c r="G44" i="22"/>
  <c r="H44" i="22" s="1"/>
  <c r="B44" i="22"/>
  <c r="F44" i="22" s="1"/>
  <c r="A44" i="22"/>
  <c r="L43" i="22"/>
  <c r="P43" i="22" s="1"/>
  <c r="G43" i="22"/>
  <c r="H43" i="22" s="1"/>
  <c r="B43" i="22"/>
  <c r="A43" i="22"/>
  <c r="L42" i="22"/>
  <c r="P42" i="22" s="1"/>
  <c r="G42" i="22"/>
  <c r="H42" i="22" s="1"/>
  <c r="B42" i="22"/>
  <c r="F42" i="22" s="1"/>
  <c r="A42" i="22"/>
  <c r="L41" i="22"/>
  <c r="P41" i="22" s="1"/>
  <c r="G41" i="22"/>
  <c r="H41" i="22" s="1"/>
  <c r="B41" i="22"/>
  <c r="F41" i="22" s="1"/>
  <c r="A41" i="22"/>
  <c r="L40" i="22"/>
  <c r="P40" i="22" s="1"/>
  <c r="G40" i="22"/>
  <c r="H40" i="22" s="1"/>
  <c r="B40" i="22"/>
  <c r="F40" i="22" s="1"/>
  <c r="A40" i="22"/>
  <c r="L39" i="22"/>
  <c r="P39" i="22" s="1"/>
  <c r="G39" i="22"/>
  <c r="H39" i="22" s="1"/>
  <c r="B39" i="22"/>
  <c r="A39" i="22"/>
  <c r="L38" i="22"/>
  <c r="P38" i="22" s="1"/>
  <c r="G38" i="22"/>
  <c r="H38" i="22" s="1"/>
  <c r="B38" i="22"/>
  <c r="A38" i="22"/>
  <c r="L37" i="22"/>
  <c r="P37" i="22" s="1"/>
  <c r="G37" i="22"/>
  <c r="H37" i="22" s="1"/>
  <c r="B37" i="22"/>
  <c r="F37" i="22" s="1"/>
  <c r="A37" i="22"/>
  <c r="J45" i="22" l="1"/>
  <c r="K57" i="22"/>
  <c r="O46" i="22"/>
  <c r="J47" i="22"/>
  <c r="K55" i="22"/>
  <c r="I55" i="22"/>
  <c r="O59" i="22"/>
  <c r="K54" i="22"/>
  <c r="O51" i="22"/>
  <c r="I53" i="22"/>
  <c r="I56" i="22"/>
  <c r="I57" i="22"/>
  <c r="J53" i="22"/>
  <c r="J56" i="22"/>
  <c r="J49" i="22"/>
  <c r="K53" i="22"/>
  <c r="K56" i="22"/>
  <c r="J48" i="22"/>
  <c r="O50" i="22"/>
  <c r="J54" i="22"/>
  <c r="J55" i="22"/>
  <c r="J57" i="22"/>
  <c r="J50" i="22"/>
  <c r="O44" i="22"/>
  <c r="I58" i="22"/>
  <c r="O54" i="22"/>
  <c r="O43" i="22"/>
  <c r="I46" i="22"/>
  <c r="O52" i="22"/>
  <c r="O57" i="22"/>
  <c r="O58" i="22"/>
  <c r="J58" i="22"/>
  <c r="I45" i="22"/>
  <c r="J46" i="22"/>
  <c r="I47" i="22"/>
  <c r="I48" i="22"/>
  <c r="I49" i="22"/>
  <c r="I50" i="22"/>
  <c r="K46" i="22"/>
  <c r="K45" i="22"/>
  <c r="K47" i="22"/>
  <c r="K48" i="22"/>
  <c r="K49" i="22"/>
  <c r="I54" i="22"/>
  <c r="O37" i="22"/>
  <c r="O38" i="22"/>
  <c r="O39" i="22"/>
  <c r="O40" i="22"/>
  <c r="O41" i="22"/>
  <c r="O42" i="22"/>
  <c r="O45" i="22"/>
  <c r="O53" i="22"/>
  <c r="O47" i="22"/>
  <c r="I51" i="22"/>
  <c r="O55" i="22"/>
  <c r="I59" i="22"/>
  <c r="I37" i="22"/>
  <c r="I38" i="22"/>
  <c r="I39" i="22"/>
  <c r="I40" i="22"/>
  <c r="I41" i="22"/>
  <c r="I42" i="22"/>
  <c r="I43" i="22"/>
  <c r="I44" i="22"/>
  <c r="O48" i="22"/>
  <c r="K50" i="22"/>
  <c r="J51" i="22"/>
  <c r="I52" i="22"/>
  <c r="O56" i="22"/>
  <c r="K58" i="22"/>
  <c r="J59" i="22"/>
  <c r="I60" i="22"/>
  <c r="J37" i="22"/>
  <c r="J38" i="22"/>
  <c r="J39" i="22"/>
  <c r="J40" i="22"/>
  <c r="J41" i="22"/>
  <c r="J42" i="22"/>
  <c r="J43" i="22"/>
  <c r="J44" i="22"/>
  <c r="O49" i="22"/>
  <c r="K51" i="22"/>
  <c r="J52" i="22"/>
  <c r="K59" i="22"/>
  <c r="J60" i="22"/>
  <c r="K37" i="22"/>
  <c r="K38" i="22"/>
  <c r="K39" i="22"/>
  <c r="K40" i="22"/>
  <c r="K41" i="22"/>
  <c r="K42" i="22"/>
  <c r="K43" i="22"/>
  <c r="K44" i="22"/>
  <c r="K52" i="22"/>
  <c r="K60" i="22"/>
  <c r="E37" i="22"/>
  <c r="M37" i="22"/>
  <c r="E38" i="22"/>
  <c r="M38" i="22"/>
  <c r="E39" i="22"/>
  <c r="M39" i="22"/>
  <c r="E40" i="22"/>
  <c r="M40" i="22"/>
  <c r="E41" i="22"/>
  <c r="M41" i="22"/>
  <c r="E42" i="22"/>
  <c r="M42" i="22"/>
  <c r="E43" i="22"/>
  <c r="M43" i="22"/>
  <c r="E44" i="22"/>
  <c r="M44" i="22"/>
  <c r="E45" i="22"/>
  <c r="M45" i="22"/>
  <c r="E46" i="22"/>
  <c r="M46" i="22"/>
  <c r="E47" i="22"/>
  <c r="M47" i="22"/>
  <c r="E48" i="22"/>
  <c r="M48" i="22"/>
  <c r="E49" i="22"/>
  <c r="M49" i="22"/>
  <c r="E50" i="22"/>
  <c r="M50" i="22"/>
  <c r="E51" i="22"/>
  <c r="M51" i="22"/>
  <c r="E52" i="22"/>
  <c r="M52" i="22"/>
  <c r="E53" i="22"/>
  <c r="M53" i="22"/>
  <c r="E54" i="22"/>
  <c r="M54" i="22"/>
  <c r="E55" i="22"/>
  <c r="M55" i="22"/>
  <c r="E56" i="22"/>
  <c r="M56" i="22"/>
  <c r="E57" i="22"/>
  <c r="M57" i="22"/>
  <c r="E58" i="22"/>
  <c r="M58" i="22"/>
  <c r="E59" i="22"/>
  <c r="M59" i="22"/>
  <c r="E60" i="22"/>
  <c r="M60" i="22"/>
  <c r="N37" i="22"/>
  <c r="F38" i="22"/>
  <c r="N38" i="22"/>
  <c r="F39" i="22"/>
  <c r="N39" i="22"/>
  <c r="N40" i="22"/>
  <c r="N41" i="22"/>
  <c r="N42" i="22"/>
  <c r="F43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O60" i="22"/>
</calcChain>
</file>

<file path=xl/sharedStrings.xml><?xml version="1.0" encoding="utf-8"?>
<sst xmlns="http://schemas.openxmlformats.org/spreadsheetml/2006/main" count="280" uniqueCount="40">
  <si>
    <t>sample size</t>
  </si>
  <si>
    <t>iterations</t>
  </si>
  <si>
    <t>R0-</t>
  </si>
  <si>
    <t>R0+</t>
  </si>
  <si>
    <t>R0_d</t>
  </si>
  <si>
    <t>mu</t>
  </si>
  <si>
    <t>seed</t>
  </si>
  <si>
    <t>R0</t>
  </si>
  <si>
    <t>lnR0</t>
  </si>
  <si>
    <t>MLE r</t>
  </si>
  <si>
    <t>MLE s^</t>
  </si>
  <si>
    <t>MLE s</t>
  </si>
  <si>
    <t>MLE_EM r</t>
  </si>
  <si>
    <t>MLE_EM s^</t>
  </si>
  <si>
    <t>MLE_EM s</t>
  </si>
  <si>
    <t>MOM r</t>
  </si>
  <si>
    <t>MOM s^</t>
  </si>
  <si>
    <t>MOM s</t>
  </si>
  <si>
    <t>MLE - s^</t>
  </si>
  <si>
    <t>MLE + s^</t>
  </si>
  <si>
    <t>MLE - s</t>
  </si>
  <si>
    <t>MLE + s</t>
  </si>
  <si>
    <t>MLE</t>
  </si>
  <si>
    <t>MLE_EM</t>
  </si>
  <si>
    <t>MLE_EM - s^</t>
  </si>
  <si>
    <t>MLE_EM + s^</t>
  </si>
  <si>
    <t>MLE_EM - s</t>
  </si>
  <si>
    <t>MLE_EM + s</t>
  </si>
  <si>
    <t>MOM</t>
  </si>
  <si>
    <t>MOM - s^</t>
  </si>
  <si>
    <t>MOM + s^</t>
  </si>
  <si>
    <t>MOM - s</t>
  </si>
  <si>
    <t>MOM + s</t>
  </si>
  <si>
    <t>Success</t>
  </si>
  <si>
    <t>Failures</t>
  </si>
  <si>
    <t>log10 R0</t>
  </si>
  <si>
    <t>MLE log10 r</t>
  </si>
  <si>
    <t>MLE_EM log10 r</t>
  </si>
  <si>
    <t>MOM log10 r</t>
  </si>
  <si>
    <t>Failure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</si>
</sst>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1" fontId="0" fillId="0" borderId="0" xfId="0" applyNumberFormat="1"/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left" vertical="center"/>
    </xf>
    <xf numFmtId="164" fontId="0" fillId="0" borderId="0" xfId="0" applyNumberFormat="1" applyAlignment="1">
      <alignment vertical="center"/>
    </xf>
    <xf numFmtId="164" fontId="0" fillId="0" borderId="0" xfId="0" applyNumberFormat="1" applyAlignment="1">
      <alignment horizontal="right" vertical="center"/>
    </xf>
    <xf numFmtId="11" fontId="0" fillId="0" borderId="0" xfId="0" applyNumberFormat="1"/>
    <xf numFmtId="1" fontId="0" fillId="0" borderId="0" xfId="0" applyNumberFormat="1" applyFont="1" applyAlignment="1">
      <alignment horizontal="right" wrapText="1"/>
    </xf>
    <xf numFmtId="1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1" fontId="0" fillId="0" borderId="0" xfId="0" applyNumberFormat="1" applyFont="1" applyAlignment="1">
      <alignment horizontal="right" vertical="center" wrapText="1"/>
    </xf>
    <xf numFmtId="1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8'!$L$37:$L$59</c:f>
              <c:numCache>
                <c:formatCode>0.0000</c:formatCode>
                <c:ptCount val="23"/>
                <c:pt idx="0">
                  <c:v>7.2314669549837104E-2</c:v>
                </c:pt>
                <c:pt idx="1">
                  <c:v>9.51981094397856E-2</c:v>
                </c:pt>
                <c:pt idx="2">
                  <c:v>0.11628485575231</c:v>
                </c:pt>
                <c:pt idx="3">
                  <c:v>0.12517891487401001</c:v>
                </c:pt>
                <c:pt idx="4">
                  <c:v>0.131076836334379</c:v>
                </c:pt>
                <c:pt idx="5">
                  <c:v>0.13656704940834399</c:v>
                </c:pt>
                <c:pt idx="6">
                  <c:v>0.14421007100803901</c:v>
                </c:pt>
                <c:pt idx="7">
                  <c:v>0.145280208692594</c:v>
                </c:pt>
                <c:pt idx="8">
                  <c:v>0.14948040901353099</c:v>
                </c:pt>
                <c:pt idx="9">
                  <c:v>0.15172881376326899</c:v>
                </c:pt>
                <c:pt idx="10">
                  <c:v>0.150402873126291</c:v>
                </c:pt>
                <c:pt idx="11">
                  <c:v>0.148637369431808</c:v>
                </c:pt>
                <c:pt idx="12">
                  <c:v>0.150589059810707</c:v>
                </c:pt>
                <c:pt idx="13">
                  <c:v>0.15299574767344001</c:v>
                </c:pt>
                <c:pt idx="14">
                  <c:v>0.157177753780541</c:v>
                </c:pt>
                <c:pt idx="15">
                  <c:v>0.15811043109856901</c:v>
                </c:pt>
                <c:pt idx="16">
                  <c:v>0.15750447378155399</c:v>
                </c:pt>
                <c:pt idx="17">
                  <c:v>0.153842813171403</c:v>
                </c:pt>
                <c:pt idx="18">
                  <c:v>0.161297947326245</c:v>
                </c:pt>
                <c:pt idx="19">
                  <c:v>0.15485733976841801</c:v>
                </c:pt>
                <c:pt idx="20">
                  <c:v>0.15896822643588299</c:v>
                </c:pt>
                <c:pt idx="21">
                  <c:v>0.158531168327079</c:v>
                </c:pt>
                <c:pt idx="22">
                  <c:v>0.155143575669378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B55-4AE6-A943-0CEB172B24D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</c:numCache>
            </c:numRef>
          </c:xVal>
          <c:yVal>
            <c:numRef>
              <c:f>'means 8'!$J$37:$J$60</c:f>
              <c:numCache>
                <c:formatCode>0.0000</c:formatCode>
                <c:ptCount val="24"/>
                <c:pt idx="0">
                  <c:v>2.0505582329008704E-2</c:v>
                </c:pt>
                <c:pt idx="1">
                  <c:v>4.4723922736016608E-2</c:v>
                </c:pt>
                <c:pt idx="2">
                  <c:v>6.5610570168057505E-2</c:v>
                </c:pt>
                <c:pt idx="3">
                  <c:v>7.6072036301367302E-2</c:v>
                </c:pt>
                <c:pt idx="4">
                  <c:v>8.3270331041747803E-2</c:v>
                </c:pt>
                <c:pt idx="5">
                  <c:v>9.1057656719347402E-2</c:v>
                </c:pt>
                <c:pt idx="6">
                  <c:v>0.1028502418291202</c:v>
                </c:pt>
                <c:pt idx="7">
                  <c:v>0.1039337315455898</c:v>
                </c:pt>
                <c:pt idx="8">
                  <c:v>0.1111713479927593</c:v>
                </c:pt>
                <c:pt idx="9">
                  <c:v>0.115456727667065</c:v>
                </c:pt>
                <c:pt idx="10">
                  <c:v>0.11326565664183232</c:v>
                </c:pt>
                <c:pt idx="11">
                  <c:v>0.11051299522076172</c:v>
                </c:pt>
                <c:pt idx="12">
                  <c:v>0.11393021848279108</c:v>
                </c:pt>
                <c:pt idx="13">
                  <c:v>0.11790345550401859</c:v>
                </c:pt>
                <c:pt idx="14">
                  <c:v>0.12705786585645851</c:v>
                </c:pt>
                <c:pt idx="15">
                  <c:v>0.12926408094267319</c:v>
                </c:pt>
                <c:pt idx="16">
                  <c:v>0.1280434700147923</c:v>
                </c:pt>
                <c:pt idx="17">
                  <c:v>0.11994627460293301</c:v>
                </c:pt>
                <c:pt idx="18">
                  <c:v>0.13770907069604421</c:v>
                </c:pt>
                <c:pt idx="19">
                  <c:v>0.12206612147214131</c:v>
                </c:pt>
                <c:pt idx="20">
                  <c:v>0.13149310510395318</c:v>
                </c:pt>
                <c:pt idx="21">
                  <c:v>0.1298167325426724</c:v>
                </c:pt>
                <c:pt idx="22">
                  <c:v>0.1227252264639386</c:v>
                </c:pt>
                <c:pt idx="23">
                  <c:v>0.13028395908052201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FB55-4AE6-A943-0CEB172B24D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FB55-4AE6-A943-0CEB172B24D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8'!$B$37:$B$60</c:f>
              <c:numCache>
                <c:formatCode>0.0000</c:formatCode>
                <c:ptCount val="24"/>
                <c:pt idx="0">
                  <c:v>6.7961782425151496E-2</c:v>
                </c:pt>
                <c:pt idx="1">
                  <c:v>9.3377505752837403E-2</c:v>
                </c:pt>
                <c:pt idx="2">
                  <c:v>0.11344549667418</c:v>
                </c:pt>
                <c:pt idx="3">
                  <c:v>0.12158380735280799</c:v>
                </c:pt>
                <c:pt idx="4">
                  <c:v>0.127002550327763</c:v>
                </c:pt>
                <c:pt idx="5">
                  <c:v>0.13232170012455399</c:v>
                </c:pt>
                <c:pt idx="6">
                  <c:v>0.13920447763296601</c:v>
                </c:pt>
                <c:pt idx="7">
                  <c:v>0.14021926203420901</c:v>
                </c:pt>
                <c:pt idx="8">
                  <c:v>0.144132732463501</c:v>
                </c:pt>
                <c:pt idx="9">
                  <c:v>0.14630853080091799</c:v>
                </c:pt>
                <c:pt idx="10">
                  <c:v>0.145060143950593</c:v>
                </c:pt>
                <c:pt idx="11">
                  <c:v>0.14327186050506799</c:v>
                </c:pt>
                <c:pt idx="12">
                  <c:v>0.14532608519860299</c:v>
                </c:pt>
                <c:pt idx="13">
                  <c:v>0.147535788995909</c:v>
                </c:pt>
                <c:pt idx="14">
                  <c:v>0.151263204641365</c:v>
                </c:pt>
                <c:pt idx="15">
                  <c:v>0.152034236882468</c:v>
                </c:pt>
                <c:pt idx="16">
                  <c:v>0.15146420046158399</c:v>
                </c:pt>
                <c:pt idx="17">
                  <c:v>0.14821895385144099</c:v>
                </c:pt>
                <c:pt idx="18">
                  <c:v>0.155172032119752</c:v>
                </c:pt>
                <c:pt idx="19">
                  <c:v>0.149345818408958</c:v>
                </c:pt>
                <c:pt idx="20">
                  <c:v>0.152825205433648</c:v>
                </c:pt>
                <c:pt idx="21">
                  <c:v>0.15273940587030799</c:v>
                </c:pt>
                <c:pt idx="22">
                  <c:v>0.14916420959690099</c:v>
                </c:pt>
                <c:pt idx="23">
                  <c:v>0.15240663268056301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FB55-4AE6-A943-0CEB172B24D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8'!$C$37:$C$60</c:f>
              <c:numCache>
                <c:formatCode>0.0000</c:formatCode>
                <c:ptCount val="24"/>
                <c:pt idx="0">
                  <c:v>6.5517183729584774E-2</c:v>
                </c:pt>
                <c:pt idx="1">
                  <c:v>8.9382851626184479E-2</c:v>
                </c:pt>
                <c:pt idx="2">
                  <c:v>0.1075221350416445</c:v>
                </c:pt>
                <c:pt idx="3">
                  <c:v>0.1154182548843764</c:v>
                </c:pt>
                <c:pt idx="4">
                  <c:v>0.12041322225152663</c:v>
                </c:pt>
                <c:pt idx="5">
                  <c:v>0.12500111403588951</c:v>
                </c:pt>
                <c:pt idx="6">
                  <c:v>0.13067092988842219</c:v>
                </c:pt>
                <c:pt idx="7">
                  <c:v>0.132260783151428</c:v>
                </c:pt>
                <c:pt idx="8">
                  <c:v>0.13485554756596857</c:v>
                </c:pt>
                <c:pt idx="9">
                  <c:v>0.13774604962436751</c:v>
                </c:pt>
                <c:pt idx="10">
                  <c:v>0.13636334338162645</c:v>
                </c:pt>
                <c:pt idx="11">
                  <c:v>0.13448261054986402</c:v>
                </c:pt>
                <c:pt idx="12">
                  <c:v>0.13625524816748658</c:v>
                </c:pt>
                <c:pt idx="13">
                  <c:v>0.13925935752121016</c:v>
                </c:pt>
                <c:pt idx="14">
                  <c:v>0.14195382303446602</c:v>
                </c:pt>
                <c:pt idx="15">
                  <c:v>0.14207904657598872</c:v>
                </c:pt>
                <c:pt idx="16">
                  <c:v>0.14209919948471564</c:v>
                </c:pt>
                <c:pt idx="17">
                  <c:v>0.1385069324416511</c:v>
                </c:pt>
                <c:pt idx="18">
                  <c:v>0.14531981723595522</c:v>
                </c:pt>
                <c:pt idx="19">
                  <c:v>0.14028395298231733</c:v>
                </c:pt>
                <c:pt idx="20">
                  <c:v>0.14359295882976328</c:v>
                </c:pt>
                <c:pt idx="21">
                  <c:v>0.14276648040040105</c:v>
                </c:pt>
                <c:pt idx="22">
                  <c:v>0.13942490552561909</c:v>
                </c:pt>
                <c:pt idx="23">
                  <c:v>0.14248970040145645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FB55-4AE6-A943-0CEB172B24D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8'!$D$37:$D$60</c:f>
              <c:numCache>
                <c:formatCode>0.0000</c:formatCode>
                <c:ptCount val="24"/>
                <c:pt idx="0">
                  <c:v>7.0406381120718217E-2</c:v>
                </c:pt>
                <c:pt idx="1">
                  <c:v>9.7372159879490328E-2</c:v>
                </c:pt>
                <c:pt idx="2">
                  <c:v>0.11936885830671549</c:v>
                </c:pt>
                <c:pt idx="3">
                  <c:v>0.12774935982123958</c:v>
                </c:pt>
                <c:pt idx="4">
                  <c:v>0.13359187840399939</c:v>
                </c:pt>
                <c:pt idx="5">
                  <c:v>0.13964228621321848</c:v>
                </c:pt>
                <c:pt idx="6">
                  <c:v>0.14773802537750982</c:v>
                </c:pt>
                <c:pt idx="7">
                  <c:v>0.14817774091699001</c:v>
                </c:pt>
                <c:pt idx="8">
                  <c:v>0.15340991736103343</c:v>
                </c:pt>
                <c:pt idx="9">
                  <c:v>0.15487101197746847</c:v>
                </c:pt>
                <c:pt idx="10">
                  <c:v>0.15375694451955954</c:v>
                </c:pt>
                <c:pt idx="11">
                  <c:v>0.15206111046027196</c:v>
                </c:pt>
                <c:pt idx="12">
                  <c:v>0.1543969222297194</c:v>
                </c:pt>
                <c:pt idx="13">
                  <c:v>0.15581222047060783</c:v>
                </c:pt>
                <c:pt idx="14">
                  <c:v>0.16057258624826398</c:v>
                </c:pt>
                <c:pt idx="15">
                  <c:v>0.16198942718894729</c:v>
                </c:pt>
                <c:pt idx="16">
                  <c:v>0.16082920143845233</c:v>
                </c:pt>
                <c:pt idx="17">
                  <c:v>0.15793097526123087</c:v>
                </c:pt>
                <c:pt idx="18">
                  <c:v>0.16502424700354879</c:v>
                </c:pt>
                <c:pt idx="19">
                  <c:v>0.15840768383559867</c:v>
                </c:pt>
                <c:pt idx="20">
                  <c:v>0.16205745203753272</c:v>
                </c:pt>
                <c:pt idx="21">
                  <c:v>0.16271233134021493</c:v>
                </c:pt>
                <c:pt idx="22">
                  <c:v>0.15890351366818289</c:v>
                </c:pt>
                <c:pt idx="23">
                  <c:v>0.16232356495966957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FB55-4AE6-A943-0CEB172B24D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8'!$E$37:$E$60</c:f>
              <c:numCache>
                <c:formatCode>0.0000</c:formatCode>
                <c:ptCount val="24"/>
                <c:pt idx="0">
                  <c:v>2.0505260203626093E-2</c:v>
                </c:pt>
                <c:pt idx="1">
                  <c:v>4.4741420805042301E-2</c:v>
                </c:pt>
                <c:pt idx="2">
                  <c:v>6.5587078495738194E-2</c:v>
                </c:pt>
                <c:pt idx="3">
                  <c:v>7.601328151086939E-2</c:v>
                </c:pt>
                <c:pt idx="4">
                  <c:v>8.3204259764767308E-2</c:v>
                </c:pt>
                <c:pt idx="5">
                  <c:v>9.0991983816189489E-2</c:v>
                </c:pt>
                <c:pt idx="6">
                  <c:v>0.10273015268704071</c:v>
                </c:pt>
                <c:pt idx="7">
                  <c:v>0.103767113211264</c:v>
                </c:pt>
                <c:pt idx="8">
                  <c:v>0.11103863850998211</c:v>
                </c:pt>
                <c:pt idx="9">
                  <c:v>0.11533266451042348</c:v>
                </c:pt>
                <c:pt idx="10">
                  <c:v>0.113226313145003</c:v>
                </c:pt>
                <c:pt idx="11">
                  <c:v>0.11035432971609409</c:v>
                </c:pt>
                <c:pt idx="12">
                  <c:v>0.1138760665652466</c:v>
                </c:pt>
                <c:pt idx="13">
                  <c:v>0.11776648952929229</c:v>
                </c:pt>
                <c:pt idx="14">
                  <c:v>0.1268062956208007</c:v>
                </c:pt>
                <c:pt idx="15">
                  <c:v>0.12896105220476711</c:v>
                </c:pt>
                <c:pt idx="16">
                  <c:v>0.1278011860960771</c:v>
                </c:pt>
                <c:pt idx="17">
                  <c:v>0.11976336339966749</c:v>
                </c:pt>
                <c:pt idx="18">
                  <c:v>0.1374546839486091</c:v>
                </c:pt>
                <c:pt idx="19">
                  <c:v>0.1220029916359234</c:v>
                </c:pt>
                <c:pt idx="20">
                  <c:v>0.1311942659942559</c:v>
                </c:pt>
                <c:pt idx="21">
                  <c:v>0.12956665347042859</c:v>
                </c:pt>
                <c:pt idx="22">
                  <c:v>0.12242284129016409</c:v>
                </c:pt>
                <c:pt idx="23">
                  <c:v>0.1300245671933061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FB55-4AE6-A943-0CEB172B24D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8'!$F$37:$F$60</c:f>
              <c:numCache>
                <c:formatCode>0.0000</c:formatCode>
                <c:ptCount val="24"/>
                <c:pt idx="0">
                  <c:v>0.11541830464667691</c:v>
                </c:pt>
                <c:pt idx="1">
                  <c:v>0.14201359070063252</c:v>
                </c:pt>
                <c:pt idx="2">
                  <c:v>0.1613039148526218</c:v>
                </c:pt>
                <c:pt idx="3">
                  <c:v>0.1671543331947466</c:v>
                </c:pt>
                <c:pt idx="4">
                  <c:v>0.1708008408907587</c:v>
                </c:pt>
                <c:pt idx="5">
                  <c:v>0.17365141643291848</c:v>
                </c:pt>
                <c:pt idx="6">
                  <c:v>0.17567880257889129</c:v>
                </c:pt>
                <c:pt idx="7">
                  <c:v>0.17667141085715402</c:v>
                </c:pt>
                <c:pt idx="8">
                  <c:v>0.17722682641701989</c:v>
                </c:pt>
                <c:pt idx="9">
                  <c:v>0.1772843970914125</c:v>
                </c:pt>
                <c:pt idx="10">
                  <c:v>0.17689397475618299</c:v>
                </c:pt>
                <c:pt idx="11">
                  <c:v>0.17618939129404187</c:v>
                </c:pt>
                <c:pt idx="12">
                  <c:v>0.17677610383195938</c:v>
                </c:pt>
                <c:pt idx="13">
                  <c:v>0.17730508846252568</c:v>
                </c:pt>
                <c:pt idx="14">
                  <c:v>0.1757201136619293</c:v>
                </c:pt>
                <c:pt idx="15">
                  <c:v>0.1751074215601689</c:v>
                </c:pt>
                <c:pt idx="16">
                  <c:v>0.17512721482709087</c:v>
                </c:pt>
                <c:pt idx="17">
                  <c:v>0.1766745443032145</c:v>
                </c:pt>
                <c:pt idx="18">
                  <c:v>0.1728893802908949</c:v>
                </c:pt>
                <c:pt idx="19">
                  <c:v>0.17668864518199259</c:v>
                </c:pt>
                <c:pt idx="20">
                  <c:v>0.17445614487304009</c:v>
                </c:pt>
                <c:pt idx="21">
                  <c:v>0.17591215827018739</c:v>
                </c:pt>
                <c:pt idx="22">
                  <c:v>0.17590557790363789</c:v>
                </c:pt>
                <c:pt idx="23">
                  <c:v>0.17478869816781992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FB55-4AE6-A943-0CEB172B24D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8'!$G$37:$G$60</c:f>
              <c:numCache>
                <c:formatCode>0.0000</c:formatCode>
                <c:ptCount val="24"/>
                <c:pt idx="0">
                  <c:v>6.7975859965487204E-2</c:v>
                </c:pt>
                <c:pt idx="1">
                  <c:v>9.3467154242268105E-2</c:v>
                </c:pt>
                <c:pt idx="2">
                  <c:v>0.113650039384768</c:v>
                </c:pt>
                <c:pt idx="3">
                  <c:v>0.12177888133643</c:v>
                </c:pt>
                <c:pt idx="4">
                  <c:v>0.127146676723359</c:v>
                </c:pt>
                <c:pt idx="5">
                  <c:v>0.132411830743073</c:v>
                </c:pt>
                <c:pt idx="6">
                  <c:v>0.139408945708964</c:v>
                </c:pt>
                <c:pt idx="7">
                  <c:v>0.14050183429843599</c:v>
                </c:pt>
                <c:pt idx="8">
                  <c:v>0.14431939265739499</c:v>
                </c:pt>
                <c:pt idx="9">
                  <c:v>0.146450336753357</c:v>
                </c:pt>
                <c:pt idx="10">
                  <c:v>0.14505286964581501</c:v>
                </c:pt>
                <c:pt idx="11">
                  <c:v>0.14351732736884801</c:v>
                </c:pt>
                <c:pt idx="12">
                  <c:v>0.14534370655453199</c:v>
                </c:pt>
                <c:pt idx="13">
                  <c:v>0.14769504250797999</c:v>
                </c:pt>
                <c:pt idx="14">
                  <c:v>0.151566550454168</c:v>
                </c:pt>
                <c:pt idx="15">
                  <c:v>0.15241996892460499</c:v>
                </c:pt>
                <c:pt idx="16">
                  <c:v>0.15175882441905</c:v>
                </c:pt>
                <c:pt idx="17">
                  <c:v>0.14845230915205801</c:v>
                </c:pt>
                <c:pt idx="18">
                  <c:v>0.15541391479067601</c:v>
                </c:pt>
                <c:pt idx="19">
                  <c:v>0.14936465872542401</c:v>
                </c:pt>
                <c:pt idx="20">
                  <c:v>0.15316918043451999</c:v>
                </c:pt>
                <c:pt idx="21">
                  <c:v>0.15301937684147601</c:v>
                </c:pt>
                <c:pt idx="22">
                  <c:v>0.14958553288604301</c:v>
                </c:pt>
                <c:pt idx="23">
                  <c:v>0.15269380369926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FB55-4AE6-A943-0CEB172B24D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8'!$H$37:$H$59</c:f>
              <c:numCache>
                <c:formatCode>0.0000</c:formatCode>
                <c:ptCount val="23"/>
                <c:pt idx="0">
                  <c:v>1.6042967528712503E-2</c:v>
                </c:pt>
                <c:pt idx="1">
                  <c:v>1.47043072557798E-2</c:v>
                </c:pt>
                <c:pt idx="2">
                  <c:v>1.1093988511481009E-2</c:v>
                </c:pt>
                <c:pt idx="3">
                  <c:v>9.497037010518003E-3</c:v>
                </c:pt>
                <c:pt idx="4">
                  <c:v>8.2739956470589959E-3</c:v>
                </c:pt>
                <c:pt idx="5">
                  <c:v>7.0775307349029981E-3</c:v>
                </c:pt>
                <c:pt idx="6">
                  <c:v>5.4818135057630168E-3</c:v>
                </c:pt>
                <c:pt idx="7">
                  <c:v>5.0217427686269911E-3</c:v>
                </c:pt>
                <c:pt idx="8">
                  <c:v>4.1011767382679865E-3</c:v>
                </c:pt>
                <c:pt idx="9">
                  <c:v>3.5667011753429956E-3</c:v>
                </c:pt>
                <c:pt idx="10">
                  <c:v>4.0479277482500242E-3</c:v>
                </c:pt>
                <c:pt idx="11">
                  <c:v>4.4930875320040031E-3</c:v>
                </c:pt>
                <c:pt idx="12">
                  <c:v>3.9934659851799947E-3</c:v>
                </c:pt>
                <c:pt idx="13">
                  <c:v>3.2198807216869962E-3</c:v>
                </c:pt>
                <c:pt idx="14">
                  <c:v>2.252731359849991E-3</c:v>
                </c:pt>
                <c:pt idx="15">
                  <c:v>2.0322891284809963E-3</c:v>
                </c:pt>
                <c:pt idx="16">
                  <c:v>2.2763705681440038E-3</c:v>
                </c:pt>
                <c:pt idx="17">
                  <c:v>3.1002412687380076E-3</c:v>
                </c:pt>
                <c:pt idx="18">
                  <c:v>1.205819384144019E-3</c:v>
                </c:pt>
                <c:pt idx="19">
                  <c:v>2.875545324044021E-3</c:v>
                </c:pt>
                <c:pt idx="20">
                  <c:v>1.8632868550999826E-3</c:v>
                </c:pt>
                <c:pt idx="21">
                  <c:v>1.7301202108270242E-3</c:v>
                </c:pt>
                <c:pt idx="22">
                  <c:v>2.8466906921110202E-3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FB55-4AE6-A943-0CEB172B24D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FB55-4AE6-A943-0CEB172B24D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8'!$A$37:$A$59</c:f>
              <c:numCache>
                <c:formatCode>0.0000</c:formatCode>
                <c:ptCount val="23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</c:numCache>
            </c:numRef>
          </c:xVal>
          <c:yVal>
            <c:numRef>
              <c:f>'means 8'!$I$37:$I$60</c:f>
              <c:numCache>
                <c:formatCode>0.0000</c:formatCode>
                <c:ptCount val="24"/>
                <c:pt idx="0">
                  <c:v>0.1199087524022619</c:v>
                </c:pt>
                <c:pt idx="1">
                  <c:v>0.17223000122875642</c:v>
                </c:pt>
                <c:pt idx="2">
                  <c:v>0.21620609025805498</c:v>
                </c:pt>
                <c:pt idx="3">
                  <c:v>0.23406072566234198</c:v>
                </c:pt>
                <c:pt idx="4">
                  <c:v>0.246019357799659</c:v>
                </c:pt>
                <c:pt idx="5">
                  <c:v>0.25774613075124297</c:v>
                </c:pt>
                <c:pt idx="6">
                  <c:v>0.27333607791216497</c:v>
                </c:pt>
                <c:pt idx="7">
                  <c:v>0.27598192582824499</c:v>
                </c:pt>
                <c:pt idx="8">
                  <c:v>0.28453760857652199</c:v>
                </c:pt>
                <c:pt idx="9">
                  <c:v>0.28933397233137104</c:v>
                </c:pt>
                <c:pt idx="10">
                  <c:v>0.28605781154338</c:v>
                </c:pt>
                <c:pt idx="11">
                  <c:v>0.28254156720569201</c:v>
                </c:pt>
                <c:pt idx="12">
                  <c:v>0.28669394712388396</c:v>
                </c:pt>
                <c:pt idx="13">
                  <c:v>0.29217020429427298</c:v>
                </c:pt>
                <c:pt idx="14">
                  <c:v>0.30088036954848602</c:v>
                </c:pt>
                <c:pt idx="15">
                  <c:v>0.30280764872072896</c:v>
                </c:pt>
                <c:pt idx="16">
                  <c:v>0.301241278269956</c:v>
                </c:pt>
                <c:pt idx="17">
                  <c:v>0.29380437703537798</c:v>
                </c:pt>
                <c:pt idx="18">
                  <c:v>0.30962201019720803</c:v>
                </c:pt>
                <c:pt idx="19">
                  <c:v>0.29585377212680397</c:v>
                </c:pt>
                <c:pt idx="20">
                  <c:v>0.30447507401394003</c:v>
                </c:pt>
                <c:pt idx="21">
                  <c:v>0.304308633472125</c:v>
                </c:pt>
                <c:pt idx="22">
                  <c:v>0.296324375079975</c:v>
                </c:pt>
                <c:pt idx="23">
                  <c:v>0.30338508592128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FB55-4AE6-A943-0CEB172B24D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8'!$K$37:$K$60</c:f>
              <c:numCache>
                <c:formatCode>0.0000</c:formatCode>
                <c:ptCount val="24"/>
                <c:pt idx="0">
                  <c:v>0.1154461376019657</c:v>
                </c:pt>
                <c:pt idx="1">
                  <c:v>0.1422103857485196</c:v>
                </c:pt>
                <c:pt idx="2">
                  <c:v>0.16168950860147852</c:v>
                </c:pt>
                <c:pt idx="3">
                  <c:v>0.1674857263714927</c:v>
                </c:pt>
                <c:pt idx="4">
                  <c:v>0.17102302240497019</c:v>
                </c:pt>
                <c:pt idx="5">
                  <c:v>0.1737660047667986</c:v>
                </c:pt>
                <c:pt idx="6">
                  <c:v>0.17596764958880781</c:v>
                </c:pt>
                <c:pt idx="7">
                  <c:v>0.17706993705128218</c:v>
                </c:pt>
                <c:pt idx="8">
                  <c:v>0.17746743732203069</c:v>
                </c:pt>
                <c:pt idx="9">
                  <c:v>0.17744394583964901</c:v>
                </c:pt>
                <c:pt idx="10">
                  <c:v>0.17684008264979773</c:v>
                </c:pt>
                <c:pt idx="11">
                  <c:v>0.1765216595169343</c:v>
                </c:pt>
                <c:pt idx="12">
                  <c:v>0.1767571946262729</c:v>
                </c:pt>
                <c:pt idx="13">
                  <c:v>0.17748662951194139</c:v>
                </c:pt>
                <c:pt idx="14">
                  <c:v>0.1760752350518775</c:v>
                </c:pt>
                <c:pt idx="15">
                  <c:v>0.17557585690653679</c:v>
                </c:pt>
                <c:pt idx="16">
                  <c:v>0.17547417882330771</c:v>
                </c:pt>
                <c:pt idx="17">
                  <c:v>0.17695834370118302</c:v>
                </c:pt>
                <c:pt idx="18">
                  <c:v>0.17311875888530781</c:v>
                </c:pt>
                <c:pt idx="19">
                  <c:v>0.17666319597870672</c:v>
                </c:pt>
                <c:pt idx="20">
                  <c:v>0.1748452557650868</c:v>
                </c:pt>
                <c:pt idx="21">
                  <c:v>0.17622202114027963</c:v>
                </c:pt>
                <c:pt idx="22">
                  <c:v>0.17644583930814742</c:v>
                </c:pt>
                <c:pt idx="23">
                  <c:v>0.17510364831799799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FB55-4AE6-A943-0CEB172B24D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8'!$M$37:$M$60</c:f>
              <c:numCache>
                <c:formatCode>0.0000</c:formatCode>
                <c:ptCount val="24"/>
                <c:pt idx="0">
                  <c:v>1.6770677225848504E-2</c:v>
                </c:pt>
                <c:pt idx="1">
                  <c:v>1.3913183058952297E-2</c:v>
                </c:pt>
                <c:pt idx="2">
                  <c:v>9.8337980963369986E-3</c:v>
                </c:pt>
                <c:pt idx="3">
                  <c:v>8.1493353705920091E-3</c:v>
                </c:pt>
                <c:pt idx="4">
                  <c:v>6.8703752577090049E-3</c:v>
                </c:pt>
                <c:pt idx="5">
                  <c:v>5.5617066807369941E-3</c:v>
                </c:pt>
                <c:pt idx="6">
                  <c:v>3.882493561129019E-3</c:v>
                </c:pt>
                <c:pt idx="7">
                  <c:v>3.3838363453010112E-3</c:v>
                </c:pt>
                <c:pt idx="8">
                  <c:v>2.4262161889139766E-3</c:v>
                </c:pt>
                <c:pt idx="9">
                  <c:v>1.8502808673409865E-3</c:v>
                </c:pt>
                <c:pt idx="10">
                  <c:v>2.3857546550500042E-3</c:v>
                </c:pt>
                <c:pt idx="11">
                  <c:v>2.8353338006109896E-3</c:v>
                </c:pt>
                <c:pt idx="12">
                  <c:v>2.3055323195700084E-3</c:v>
                </c:pt>
                <c:pt idx="13">
                  <c:v>1.47183757694902E-3</c:v>
                </c:pt>
                <c:pt idx="14">
                  <c:v>4.5054368087699137E-4</c:v>
                </c:pt>
                <c:pt idx="15">
                  <c:v>2.1986991192401995E-4</c:v>
                </c:pt>
                <c:pt idx="16">
                  <c:v>4.9367454457099891E-4</c:v>
                </c:pt>
                <c:pt idx="17">
                  <c:v>1.3482012974329882E-3</c:v>
                </c:pt>
                <c:pt idx="18">
                  <c:v>-6.5828852778199165E-4</c:v>
                </c:pt>
                <c:pt idx="19">
                  <c:v>1.1158287311540116E-3</c:v>
                </c:pt>
                <c:pt idx="20">
                  <c:v>4.9177176925985222E-5</c:v>
                </c:pt>
                <c:pt idx="21">
                  <c:v>-1.3329586005300653E-4</c:v>
                </c:pt>
                <c:pt idx="22">
                  <c:v>1.0927107032180083E-3</c:v>
                </c:pt>
                <c:pt idx="23">
                  <c:v>1.990001330759994E-4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FB55-4AE6-A943-0CEB172B24D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8'!$N$37:$N$60</c:f>
              <c:numCache>
                <c:formatCode>0.0000</c:formatCode>
                <c:ptCount val="24"/>
                <c:pt idx="0">
                  <c:v>0.12785866187382572</c:v>
                </c:pt>
                <c:pt idx="1">
                  <c:v>0.17648303582061892</c:v>
                </c:pt>
                <c:pt idx="2">
                  <c:v>0.222735913408283</c:v>
                </c:pt>
                <c:pt idx="3">
                  <c:v>0.242208494377428</c:v>
                </c:pt>
                <c:pt idx="4">
                  <c:v>0.25528329741104899</c:v>
                </c:pt>
                <c:pt idx="5">
                  <c:v>0.26757239213595096</c:v>
                </c:pt>
                <c:pt idx="6">
                  <c:v>0.284537648454949</c:v>
                </c:pt>
                <c:pt idx="7">
                  <c:v>0.28717658103988697</c:v>
                </c:pt>
                <c:pt idx="8">
                  <c:v>0.296534601838148</c:v>
                </c:pt>
                <c:pt idx="9">
                  <c:v>0.30160734665919697</c:v>
                </c:pt>
                <c:pt idx="10">
                  <c:v>0.29841999159753196</c:v>
                </c:pt>
                <c:pt idx="11">
                  <c:v>0.29443940506300503</c:v>
                </c:pt>
                <c:pt idx="12">
                  <c:v>0.29887258730184396</c:v>
                </c:pt>
                <c:pt idx="13">
                  <c:v>0.30451965776993101</c:v>
                </c:pt>
                <c:pt idx="14">
                  <c:v>0.313904963880205</c:v>
                </c:pt>
                <c:pt idx="15">
                  <c:v>0.316000992285214</c:v>
                </c:pt>
                <c:pt idx="16">
                  <c:v>0.31451527301853699</c:v>
                </c:pt>
                <c:pt idx="17">
                  <c:v>0.30633742504537298</c:v>
                </c:pt>
                <c:pt idx="18">
                  <c:v>0.32325418318027199</c:v>
                </c:pt>
                <c:pt idx="19">
                  <c:v>0.308598850805682</c:v>
                </c:pt>
                <c:pt idx="20">
                  <c:v>0.31788727569483999</c:v>
                </c:pt>
                <c:pt idx="21">
                  <c:v>0.31719563251421101</c:v>
                </c:pt>
                <c:pt idx="22">
                  <c:v>0.30919444063553803</c:v>
                </c:pt>
                <c:pt idx="23">
                  <c:v>0.31675070336418998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FB55-4AE6-A943-0CEB172B24D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8'!$O$37:$O$60</c:f>
              <c:numCache>
                <c:formatCode>0.0000</c:formatCode>
                <c:ptCount val="24"/>
                <c:pt idx="0">
                  <c:v>2.5214624361712804E-2</c:v>
                </c:pt>
                <c:pt idx="1">
                  <c:v>4.31632670096345E-2</c:v>
                </c:pt>
                <c:pt idx="2">
                  <c:v>6.4203526360127494E-2</c:v>
                </c:pt>
                <c:pt idx="3">
                  <c:v>7.5826757049902299E-2</c:v>
                </c:pt>
                <c:pt idx="4">
                  <c:v>8.3975092552977998E-2</c:v>
                </c:pt>
                <c:pt idx="5">
                  <c:v>9.1914774205577296E-2</c:v>
                </c:pt>
                <c:pt idx="6">
                  <c:v>0.10507427883191821</c:v>
                </c:pt>
                <c:pt idx="7">
                  <c:v>0.1059617057262445</c:v>
                </c:pt>
                <c:pt idx="8">
                  <c:v>0.11420130681613819</c:v>
                </c:pt>
                <c:pt idx="9">
                  <c:v>0.1187131309279436</c:v>
                </c:pt>
                <c:pt idx="10">
                  <c:v>0.11697451683288371</c:v>
                </c:pt>
                <c:pt idx="11">
                  <c:v>0.1134720448406881</c:v>
                </c:pt>
                <c:pt idx="12">
                  <c:v>0.1171843648888314</c:v>
                </c:pt>
                <c:pt idx="13">
                  <c:v>0.12110036159386592</c:v>
                </c:pt>
                <c:pt idx="14">
                  <c:v>0.13119972276542649</c:v>
                </c:pt>
                <c:pt idx="15">
                  <c:v>0.13371179660465582</c:v>
                </c:pt>
                <c:pt idx="16">
                  <c:v>0.13289124664115728</c:v>
                </c:pt>
                <c:pt idx="17">
                  <c:v>0.1234428383630945</c:v>
                </c:pt>
                <c:pt idx="18">
                  <c:v>0.14292279080283049</c:v>
                </c:pt>
                <c:pt idx="19">
                  <c:v>0.1259171617962751</c:v>
                </c:pt>
                <c:pt idx="20">
                  <c:v>0.13647148628479319</c:v>
                </c:pt>
                <c:pt idx="21">
                  <c:v>0.13318382258382672</c:v>
                </c:pt>
                <c:pt idx="22">
                  <c:v>0.12686224494562401</c:v>
                </c:pt>
                <c:pt idx="23">
                  <c:v>0.13521656151271028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FB55-4AE6-A943-0CEB172B24D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8'!$A$37:$A$60</c:f>
              <c:numCache>
                <c:formatCode>0.0000</c:formatCode>
                <c:ptCount val="24"/>
                <c:pt idx="0">
                  <c:v>4.1392685158224703E-2</c:v>
                </c:pt>
                <c:pt idx="1">
                  <c:v>8.2785370316450196E-2</c:v>
                </c:pt>
                <c:pt idx="2">
                  <c:v>0.124178055474673</c:v>
                </c:pt>
                <c:pt idx="3">
                  <c:v>0.165570740632901</c:v>
                </c:pt>
                <c:pt idx="4">
                  <c:v>0.206963425791127</c:v>
                </c:pt>
                <c:pt idx="5">
                  <c:v>0.24835611094934901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0.37253416642402798</c:v>
                </c:pt>
                <c:pt idx="9">
                  <c:v>0.41392685158224901</c:v>
                </c:pt>
                <c:pt idx="10">
                  <c:v>0.45531953674047598</c:v>
                </c:pt>
                <c:pt idx="11">
                  <c:v>0.49671222189870301</c:v>
                </c:pt>
                <c:pt idx="12">
                  <c:v>0.53810490705692204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0.66228296253160202</c:v>
                </c:pt>
                <c:pt idx="16">
                  <c:v>0.70367564768982405</c:v>
                </c:pt>
                <c:pt idx="17">
                  <c:v>0.74506833284804996</c:v>
                </c:pt>
                <c:pt idx="18">
                  <c:v>0.78646101800627699</c:v>
                </c:pt>
                <c:pt idx="19">
                  <c:v>0.82785370316450202</c:v>
                </c:pt>
                <c:pt idx="20">
                  <c:v>0.86924638832272405</c:v>
                </c:pt>
                <c:pt idx="21">
                  <c:v>0.91063907348095097</c:v>
                </c:pt>
                <c:pt idx="22">
                  <c:v>0.95203175863917799</c:v>
                </c:pt>
                <c:pt idx="23">
                  <c:v>0.99342444379740502</c:v>
                </c:pt>
              </c:numCache>
            </c:numRef>
          </c:xVal>
          <c:yVal>
            <c:numRef>
              <c:f>'means 8'!$P$37:$P$60</c:f>
              <c:numCache>
                <c:formatCode>0.0000</c:formatCode>
                <c:ptCount val="24"/>
                <c:pt idx="0">
                  <c:v>0.11941471473796141</c:v>
                </c:pt>
                <c:pt idx="1">
                  <c:v>0.14723295186993671</c:v>
                </c:pt>
                <c:pt idx="2">
                  <c:v>0.1683661851444925</c:v>
                </c:pt>
                <c:pt idx="3">
                  <c:v>0.17453107269811771</c:v>
                </c:pt>
                <c:pt idx="4">
                  <c:v>0.17817858011578</c:v>
                </c:pt>
                <c:pt idx="5">
                  <c:v>0.18121932461111068</c:v>
                </c:pt>
                <c:pt idx="6">
                  <c:v>0.1833458631841598</c:v>
                </c:pt>
                <c:pt idx="7">
                  <c:v>0.18459871165894351</c:v>
                </c:pt>
                <c:pt idx="8">
                  <c:v>0.18475951121092379</c:v>
                </c:pt>
                <c:pt idx="9">
                  <c:v>0.18474449659859438</c:v>
                </c:pt>
                <c:pt idx="10">
                  <c:v>0.18383122941969829</c:v>
                </c:pt>
                <c:pt idx="11">
                  <c:v>0.1838026940229279</c:v>
                </c:pt>
                <c:pt idx="12">
                  <c:v>0.18399375473258262</c:v>
                </c:pt>
                <c:pt idx="13">
                  <c:v>0.18489113375301411</c:v>
                </c:pt>
                <c:pt idx="14">
                  <c:v>0.1831557847956555</c:v>
                </c:pt>
                <c:pt idx="15">
                  <c:v>0.1825090655924822</c:v>
                </c:pt>
                <c:pt idx="16">
                  <c:v>0.1821177009219507</c:v>
                </c:pt>
                <c:pt idx="17">
                  <c:v>0.1842427879797115</c:v>
                </c:pt>
                <c:pt idx="18">
                  <c:v>0.17967310384965951</c:v>
                </c:pt>
                <c:pt idx="19">
                  <c:v>0.18379751774056091</c:v>
                </c:pt>
                <c:pt idx="20">
                  <c:v>0.18146496658697278</c:v>
                </c:pt>
                <c:pt idx="21">
                  <c:v>0.18387851407033129</c:v>
                </c:pt>
                <c:pt idx="22">
                  <c:v>0.183424906393132</c:v>
                </c:pt>
                <c:pt idx="23">
                  <c:v>0.1817331419845557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FB55-4AE6-A943-0CEB172B24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463168"/>
        <c:axId val="165465088"/>
      </c:scatterChart>
      <c:valAx>
        <c:axId val="1654631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5088"/>
        <c:crosses val="autoZero"/>
        <c:crossBetween val="midCat"/>
        <c:minorUnit val="0.1"/>
      </c:valAx>
      <c:valAx>
        <c:axId val="16546508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46316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16'!$L$37:$L$59</c:f>
              <c:numCache>
                <c:formatCode>0.0000</c:formatCode>
                <c:ptCount val="23"/>
                <c:pt idx="0">
                  <c:v>6.7133372016899895E-2</c:v>
                </c:pt>
                <c:pt idx="1">
                  <c:v>0.117909038842826</c:v>
                </c:pt>
                <c:pt idx="2">
                  <c:v>0.16452798952814701</c:v>
                </c:pt>
                <c:pt idx="3">
                  <c:v>0.191854855889803</c:v>
                </c:pt>
                <c:pt idx="4">
                  <c:v>0.21223739725916199</c:v>
                </c:pt>
                <c:pt idx="5">
                  <c:v>0.23591568644824401</c:v>
                </c:pt>
                <c:pt idx="6">
                  <c:v>0.24227788992758401</c:v>
                </c:pt>
                <c:pt idx="7">
                  <c:v>0.25296250694658201</c:v>
                </c:pt>
                <c:pt idx="8">
                  <c:v>0.25942793058083402</c:v>
                </c:pt>
                <c:pt idx="9">
                  <c:v>0.26651079742225597</c:v>
                </c:pt>
                <c:pt idx="10">
                  <c:v>0.26712079488774598</c:v>
                </c:pt>
                <c:pt idx="11">
                  <c:v>0.27694864848836598</c:v>
                </c:pt>
                <c:pt idx="12">
                  <c:v>0.27890988679810302</c:v>
                </c:pt>
                <c:pt idx="13">
                  <c:v>0.28542271974899702</c:v>
                </c:pt>
                <c:pt idx="14">
                  <c:v>0.281449510862819</c:v>
                </c:pt>
                <c:pt idx="15">
                  <c:v>0.292076502118919</c:v>
                </c:pt>
                <c:pt idx="16">
                  <c:v>0.29432377709874902</c:v>
                </c:pt>
                <c:pt idx="17">
                  <c:v>0.29889225491864702</c:v>
                </c:pt>
                <c:pt idx="18">
                  <c:v>0.30390014146081601</c:v>
                </c:pt>
                <c:pt idx="19">
                  <c:v>0.29692017317146302</c:v>
                </c:pt>
                <c:pt idx="20">
                  <c:v>0.30093253402299702</c:v>
                </c:pt>
                <c:pt idx="21">
                  <c:v>0.29825242931228702</c:v>
                </c:pt>
                <c:pt idx="22">
                  <c:v>0.29854135994837599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20B5-482A-AD18-2692C4A65CBB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</c:numCache>
            </c:numRef>
          </c:xVal>
          <c:yVal>
            <c:numRef>
              <c:f>'means 16'!$J$37:$J$60</c:f>
              <c:numCache>
                <c:formatCode>0.0000</c:formatCode>
                <c:ptCount val="24"/>
                <c:pt idx="0">
                  <c:v>1.6150714759546402E-2</c:v>
                </c:pt>
                <c:pt idx="1">
                  <c:v>3.375702195567741E-2</c:v>
                </c:pt>
                <c:pt idx="2">
                  <c:v>6.6466576259924984E-2</c:v>
                </c:pt>
                <c:pt idx="3">
                  <c:v>9.3055361477537998E-2</c:v>
                </c:pt>
                <c:pt idx="4">
                  <c:v>0.11711622713250701</c:v>
                </c:pt>
                <c:pt idx="5">
                  <c:v>0.14422924398151299</c:v>
                </c:pt>
                <c:pt idx="6">
                  <c:v>0.15486637014353499</c:v>
                </c:pt>
                <c:pt idx="7">
                  <c:v>0.169206201159849</c:v>
                </c:pt>
                <c:pt idx="8">
                  <c:v>0.17898087431031651</c:v>
                </c:pt>
                <c:pt idx="9">
                  <c:v>0.18873200683561642</c:v>
                </c:pt>
                <c:pt idx="10">
                  <c:v>0.19020705756025846</c:v>
                </c:pt>
                <c:pt idx="11">
                  <c:v>0.20638439669925951</c:v>
                </c:pt>
                <c:pt idx="12">
                  <c:v>0.20935154350283552</c:v>
                </c:pt>
                <c:pt idx="13">
                  <c:v>0.2209951702944925</c:v>
                </c:pt>
                <c:pt idx="14">
                  <c:v>0.21576371300940367</c:v>
                </c:pt>
                <c:pt idx="15">
                  <c:v>0.23226488599033829</c:v>
                </c:pt>
                <c:pt idx="16">
                  <c:v>0.2380655285938702</c:v>
                </c:pt>
                <c:pt idx="17">
                  <c:v>0.24611044698739409</c:v>
                </c:pt>
                <c:pt idx="18">
                  <c:v>0.25762942185663318</c:v>
                </c:pt>
                <c:pt idx="19">
                  <c:v>0.24278237631412028</c:v>
                </c:pt>
                <c:pt idx="20">
                  <c:v>0.25156049125283891</c:v>
                </c:pt>
                <c:pt idx="21">
                  <c:v>0.24560183707705852</c:v>
                </c:pt>
                <c:pt idx="22">
                  <c:v>0.24636409739279677</c:v>
                </c:pt>
                <c:pt idx="23">
                  <c:v>0.24141669349055159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20B5-482A-AD18-2692C4A65CBB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20B5-482A-AD18-2692C4A65CBB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16'!$B$37:$B$60</c:f>
              <c:numCache>
                <c:formatCode>0.0000</c:formatCode>
                <c:ptCount val="24"/>
                <c:pt idx="0">
                  <c:v>6.2612639382600796E-2</c:v>
                </c:pt>
                <c:pt idx="1">
                  <c:v>0.12338989470394</c:v>
                </c:pt>
                <c:pt idx="2">
                  <c:v>0.183904004479755</c:v>
                </c:pt>
                <c:pt idx="3">
                  <c:v>0.215645130823366</c:v>
                </c:pt>
                <c:pt idx="4">
                  <c:v>0.24220927580611401</c:v>
                </c:pt>
                <c:pt idx="5">
                  <c:v>0.27058681889534902</c:v>
                </c:pt>
                <c:pt idx="6">
                  <c:v>0.28521428416660699</c:v>
                </c:pt>
                <c:pt idx="7">
                  <c:v>0.30168900216419597</c:v>
                </c:pt>
                <c:pt idx="8">
                  <c:v>0.30586086324820499</c:v>
                </c:pt>
                <c:pt idx="9">
                  <c:v>0.32404588988562599</c:v>
                </c:pt>
                <c:pt idx="10">
                  <c:v>0.31966943124555203</c:v>
                </c:pt>
                <c:pt idx="11">
                  <c:v>0.33514349899330298</c:v>
                </c:pt>
                <c:pt idx="12">
                  <c:v>0.33710680048682901</c:v>
                </c:pt>
                <c:pt idx="13">
                  <c:v>0.34897939392535399</c:v>
                </c:pt>
                <c:pt idx="14">
                  <c:v>0.34281648104979501</c:v>
                </c:pt>
                <c:pt idx="15">
                  <c:v>0.35831096999711998</c:v>
                </c:pt>
                <c:pt idx="16">
                  <c:v>0.35868770096862601</c:v>
                </c:pt>
                <c:pt idx="17">
                  <c:v>0.35732650860221699</c:v>
                </c:pt>
                <c:pt idx="18">
                  <c:v>0.36833020360919699</c:v>
                </c:pt>
                <c:pt idx="19">
                  <c:v>0.36522679885108</c:v>
                </c:pt>
                <c:pt idx="20">
                  <c:v>0.36332432646906498</c:v>
                </c:pt>
                <c:pt idx="21">
                  <c:v>0.36363393238107899</c:v>
                </c:pt>
                <c:pt idx="22">
                  <c:v>0.36913648378367497</c:v>
                </c:pt>
                <c:pt idx="23">
                  <c:v>0.37131070272887601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20B5-482A-AD18-2692C4A65CBB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16'!$C$37:$C$60</c:f>
              <c:numCache>
                <c:formatCode>0.0000</c:formatCode>
                <c:ptCount val="24"/>
                <c:pt idx="0">
                  <c:v>4.8406885538523896E-2</c:v>
                </c:pt>
                <c:pt idx="1">
                  <c:v>6.9121027563679993E-3</c:v>
                </c:pt>
                <c:pt idx="2">
                  <c:v>-8.6869734011598004E-2</c:v>
                </c:pt>
                <c:pt idx="3">
                  <c:v>-9.2067530591868008E-2</c:v>
                </c:pt>
                <c:pt idx="4">
                  <c:v>-8.7745827227185991E-2</c:v>
                </c:pt>
                <c:pt idx="5">
                  <c:v>-0.13837668431862898</c:v>
                </c:pt>
                <c:pt idx="6">
                  <c:v>-0.346311432369377</c:v>
                </c:pt>
                <c:pt idx="7">
                  <c:v>-0.38270508617982707</c:v>
                </c:pt>
                <c:pt idx="8">
                  <c:v>-0.30863495942612401</c:v>
                </c:pt>
                <c:pt idx="9">
                  <c:v>-0.55235190509293197</c:v>
                </c:pt>
                <c:pt idx="10">
                  <c:v>-0.39185629352698692</c:v>
                </c:pt>
                <c:pt idx="11">
                  <c:v>-0.46588066936253902</c:v>
                </c:pt>
                <c:pt idx="12">
                  <c:v>-0.55115554143623502</c:v>
                </c:pt>
                <c:pt idx="13">
                  <c:v>-0.62410715322791499</c:v>
                </c:pt>
                <c:pt idx="14">
                  <c:v>-0.52688480626506295</c:v>
                </c:pt>
                <c:pt idx="15">
                  <c:v>-0.63488844541716905</c:v>
                </c:pt>
                <c:pt idx="16">
                  <c:v>-0.59984041876008298</c:v>
                </c:pt>
                <c:pt idx="17">
                  <c:v>-0.41135564629103399</c:v>
                </c:pt>
                <c:pt idx="18">
                  <c:v>-0.46740140177862299</c:v>
                </c:pt>
                <c:pt idx="19">
                  <c:v>-0.56397572127585405</c:v>
                </c:pt>
                <c:pt idx="20">
                  <c:v>-0.54655389021254897</c:v>
                </c:pt>
                <c:pt idx="21">
                  <c:v>-0.62621063015382006</c:v>
                </c:pt>
                <c:pt idx="22">
                  <c:v>-0.82224212318704493</c:v>
                </c:pt>
                <c:pt idx="23">
                  <c:v>-0.74470228524835402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20B5-482A-AD18-2692C4A65CBB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16'!$D$37:$D$60</c:f>
              <c:numCache>
                <c:formatCode>0.0000</c:formatCode>
                <c:ptCount val="24"/>
                <c:pt idx="0">
                  <c:v>7.6818393226677689E-2</c:v>
                </c:pt>
                <c:pt idx="1">
                  <c:v>0.23986768665151201</c:v>
                </c:pt>
                <c:pt idx="2">
                  <c:v>0.45467774297110797</c:v>
                </c:pt>
                <c:pt idx="3">
                  <c:v>0.52335779223860002</c:v>
                </c:pt>
                <c:pt idx="4">
                  <c:v>0.57216437883941396</c:v>
                </c:pt>
                <c:pt idx="5">
                  <c:v>0.67955032210932709</c:v>
                </c:pt>
                <c:pt idx="6">
                  <c:v>0.91674000070259098</c:v>
                </c:pt>
                <c:pt idx="7">
                  <c:v>0.98608309050821896</c:v>
                </c:pt>
                <c:pt idx="8">
                  <c:v>0.92035668592253406</c:v>
                </c:pt>
                <c:pt idx="9">
                  <c:v>1.200443684864184</c:v>
                </c:pt>
                <c:pt idx="10">
                  <c:v>1.031195156018091</c:v>
                </c:pt>
                <c:pt idx="11">
                  <c:v>1.136167667349145</c:v>
                </c:pt>
                <c:pt idx="12">
                  <c:v>1.2253691424098929</c:v>
                </c:pt>
                <c:pt idx="13">
                  <c:v>1.3220659410786231</c:v>
                </c:pt>
                <c:pt idx="14">
                  <c:v>1.2125177683646529</c:v>
                </c:pt>
                <c:pt idx="15">
                  <c:v>1.351510385411409</c:v>
                </c:pt>
                <c:pt idx="16">
                  <c:v>1.317215820697335</c:v>
                </c:pt>
                <c:pt idx="17">
                  <c:v>1.126008663495468</c:v>
                </c:pt>
                <c:pt idx="18">
                  <c:v>1.204061808997017</c:v>
                </c:pt>
                <c:pt idx="19">
                  <c:v>1.2944293189780141</c:v>
                </c:pt>
                <c:pt idx="20">
                  <c:v>1.273202543150679</c:v>
                </c:pt>
                <c:pt idx="21">
                  <c:v>1.3534784949159779</c:v>
                </c:pt>
                <c:pt idx="22">
                  <c:v>1.560515090754395</c:v>
                </c:pt>
                <c:pt idx="23">
                  <c:v>1.487323690706106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20B5-482A-AD18-2692C4A65CBB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16'!$E$37:$E$60</c:f>
              <c:numCache>
                <c:formatCode>0.0000</c:formatCode>
                <c:ptCount val="24"/>
                <c:pt idx="0">
                  <c:v>1.1429360392477293E-2</c:v>
                </c:pt>
                <c:pt idx="1">
                  <c:v>1.8468169067229007E-2</c:v>
                </c:pt>
                <c:pt idx="2">
                  <c:v>4.5594059651142993E-2</c:v>
                </c:pt>
                <c:pt idx="3">
                  <c:v>7.4818922351012007E-2</c:v>
                </c:pt>
                <c:pt idx="4">
                  <c:v>9.9615675911649021E-2</c:v>
                </c:pt>
                <c:pt idx="5">
                  <c:v>0.12757695888789003</c:v>
                </c:pt>
                <c:pt idx="6">
                  <c:v>0.133636720479859</c:v>
                </c:pt>
                <c:pt idx="7">
                  <c:v>0.14893113965629398</c:v>
                </c:pt>
                <c:pt idx="8">
                  <c:v>0.160292656119496</c:v>
                </c:pt>
                <c:pt idx="9">
                  <c:v>0.16864997009053198</c:v>
                </c:pt>
                <c:pt idx="10">
                  <c:v>0.17111749084867103</c:v>
                </c:pt>
                <c:pt idx="11">
                  <c:v>0.18799618030528198</c:v>
                </c:pt>
                <c:pt idx="12">
                  <c:v>0.18932653567469801</c:v>
                </c:pt>
                <c:pt idx="13">
                  <c:v>0.20144621095613199</c:v>
                </c:pt>
                <c:pt idx="14">
                  <c:v>0.19653408137026501</c:v>
                </c:pt>
                <c:pt idx="15">
                  <c:v>0.21373262171062299</c:v>
                </c:pt>
                <c:pt idx="16">
                  <c:v>0.21899993497644202</c:v>
                </c:pt>
                <c:pt idx="17">
                  <c:v>0.22845015983896799</c:v>
                </c:pt>
                <c:pt idx="18">
                  <c:v>0.24086923926736201</c:v>
                </c:pt>
                <c:pt idx="19">
                  <c:v>0.226434869027235</c:v>
                </c:pt>
                <c:pt idx="20">
                  <c:v>0.23173526229716299</c:v>
                </c:pt>
                <c:pt idx="21">
                  <c:v>0.225481149013362</c:v>
                </c:pt>
                <c:pt idx="22">
                  <c:v>0.22395818302113496</c:v>
                </c:pt>
                <c:pt idx="23">
                  <c:v>0.22377570921999101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20B5-482A-AD18-2692C4A65CBB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16'!$F$37:$F$60</c:f>
              <c:numCache>
                <c:formatCode>0.0000</c:formatCode>
                <c:ptCount val="24"/>
                <c:pt idx="0">
                  <c:v>0.11379591837272429</c:v>
                </c:pt>
                <c:pt idx="1">
                  <c:v>0.228311620340651</c:v>
                </c:pt>
                <c:pt idx="2">
                  <c:v>0.322213949308367</c:v>
                </c:pt>
                <c:pt idx="3">
                  <c:v>0.35647133929572</c:v>
                </c:pt>
                <c:pt idx="4">
                  <c:v>0.38480287570057903</c:v>
                </c:pt>
                <c:pt idx="5">
                  <c:v>0.41359667890280805</c:v>
                </c:pt>
                <c:pt idx="6">
                  <c:v>0.43679184785335501</c:v>
                </c:pt>
                <c:pt idx="7">
                  <c:v>0.45444686467209794</c:v>
                </c:pt>
                <c:pt idx="8">
                  <c:v>0.45142907037691399</c:v>
                </c:pt>
                <c:pt idx="9">
                  <c:v>0.47944180968072003</c:v>
                </c:pt>
                <c:pt idx="10">
                  <c:v>0.46822137164243305</c:v>
                </c:pt>
                <c:pt idx="11">
                  <c:v>0.48229081768132398</c:v>
                </c:pt>
                <c:pt idx="12">
                  <c:v>0.48488706529895997</c:v>
                </c:pt>
                <c:pt idx="13">
                  <c:v>0.49651257689457595</c:v>
                </c:pt>
                <c:pt idx="14">
                  <c:v>0.489098880729325</c:v>
                </c:pt>
                <c:pt idx="15">
                  <c:v>0.50288931828361694</c:v>
                </c:pt>
                <c:pt idx="16">
                  <c:v>0.49837546696081003</c:v>
                </c:pt>
                <c:pt idx="17">
                  <c:v>0.48620285736546598</c:v>
                </c:pt>
                <c:pt idx="18">
                  <c:v>0.49579116795103195</c:v>
                </c:pt>
                <c:pt idx="19">
                  <c:v>0.50401872867492503</c:v>
                </c:pt>
                <c:pt idx="20">
                  <c:v>0.49491339064096695</c:v>
                </c:pt>
                <c:pt idx="21">
                  <c:v>0.50178671574879596</c:v>
                </c:pt>
                <c:pt idx="22">
                  <c:v>0.51431478454621504</c:v>
                </c:pt>
                <c:pt idx="23">
                  <c:v>0.518845696237761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20B5-482A-AD18-2692C4A65CBB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16'!$G$37:$G$60</c:f>
              <c:numCache>
                <c:formatCode>0.0000</c:formatCode>
                <c:ptCount val="24"/>
                <c:pt idx="0">
                  <c:v>6.20242256030233E-2</c:v>
                </c:pt>
                <c:pt idx="1">
                  <c:v>0.11837185275336901</c:v>
                </c:pt>
                <c:pt idx="2">
                  <c:v>0.17085041022081299</c:v>
                </c:pt>
                <c:pt idx="3">
                  <c:v>0.201384229124036</c:v>
                </c:pt>
                <c:pt idx="4">
                  <c:v>0.22463038365906501</c:v>
                </c:pt>
                <c:pt idx="5">
                  <c:v>0.25071026679567199</c:v>
                </c:pt>
                <c:pt idx="6">
                  <c:v>0.25827397057736301</c:v>
                </c:pt>
                <c:pt idx="7">
                  <c:v>0.269876456850279</c:v>
                </c:pt>
                <c:pt idx="8">
                  <c:v>0.27723145010852102</c:v>
                </c:pt>
                <c:pt idx="9">
                  <c:v>0.28508600861183903</c:v>
                </c:pt>
                <c:pt idx="10">
                  <c:v>0.28560578327748198</c:v>
                </c:pt>
                <c:pt idx="11">
                  <c:v>0.29645003625949701</c:v>
                </c:pt>
                <c:pt idx="12">
                  <c:v>0.29847068851729802</c:v>
                </c:pt>
                <c:pt idx="13">
                  <c:v>0.30580010315637901</c:v>
                </c:pt>
                <c:pt idx="14">
                  <c:v>0.30154355959656898</c:v>
                </c:pt>
                <c:pt idx="15">
                  <c:v>0.31293230725652299</c:v>
                </c:pt>
                <c:pt idx="16">
                  <c:v>0.31560717697839402</c:v>
                </c:pt>
                <c:pt idx="17">
                  <c:v>0.32050391979859999</c:v>
                </c:pt>
                <c:pt idx="18">
                  <c:v>0.32598312320980899</c:v>
                </c:pt>
                <c:pt idx="19">
                  <c:v>0.31842438726342198</c:v>
                </c:pt>
                <c:pt idx="20">
                  <c:v>0.322770382122049</c:v>
                </c:pt>
                <c:pt idx="21">
                  <c:v>0.31990167775060002</c:v>
                </c:pt>
                <c:pt idx="22">
                  <c:v>0.32018628986610598</c:v>
                </c:pt>
                <c:pt idx="23">
                  <c:v>0.31824337640675798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20B5-482A-AD18-2692C4A65CBB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16'!$H$37:$H$59</c:f>
              <c:numCache>
                <c:formatCode>0.0000</c:formatCode>
                <c:ptCount val="23"/>
                <c:pt idx="0">
                  <c:v>3.1848017897499699E-2</c:v>
                </c:pt>
                <c:pt idx="1">
                  <c:v>3.8561921634729712E-2</c:v>
                </c:pt>
                <c:pt idx="2">
                  <c:v>3.6699738885296984E-2</c:v>
                </c:pt>
                <c:pt idx="3">
                  <c:v>3.3699825024520014E-2</c:v>
                </c:pt>
                <c:pt idx="4">
                  <c:v>3.0740203059889004E-2</c:v>
                </c:pt>
                <c:pt idx="5">
                  <c:v>2.5531722647891997E-2</c:v>
                </c:pt>
                <c:pt idx="6">
                  <c:v>2.4502394936428001E-2</c:v>
                </c:pt>
                <c:pt idx="7">
                  <c:v>2.1980824713831004E-2</c:v>
                </c:pt>
                <c:pt idx="8">
                  <c:v>2.0352231134594001E-2</c:v>
                </c:pt>
                <c:pt idx="9">
                  <c:v>1.8243327325853043E-2</c:v>
                </c:pt>
                <c:pt idx="10">
                  <c:v>1.8330634329994988E-2</c:v>
                </c:pt>
                <c:pt idx="11">
                  <c:v>1.5800338754501986E-2</c:v>
                </c:pt>
                <c:pt idx="12">
                  <c:v>1.5269796761858023E-2</c:v>
                </c:pt>
                <c:pt idx="13">
                  <c:v>1.3439317621287028E-2</c:v>
                </c:pt>
                <c:pt idx="14">
                  <c:v>1.4902981815493987E-2</c:v>
                </c:pt>
                <c:pt idx="15">
                  <c:v>1.1459935446489988E-2</c:v>
                </c:pt>
                <c:pt idx="16">
                  <c:v>1.1006003624550009E-2</c:v>
                </c:pt>
                <c:pt idx="17">
                  <c:v>9.5373542926779908E-3</c:v>
                </c:pt>
                <c:pt idx="18">
                  <c:v>8.2673100499670027E-3</c:v>
                </c:pt>
                <c:pt idx="19">
                  <c:v>1.019206165272396E-2</c:v>
                </c:pt>
                <c:pt idx="20">
                  <c:v>9.1735757327540135E-3</c:v>
                </c:pt>
                <c:pt idx="21">
                  <c:v>9.8218582701050106E-3</c:v>
                </c:pt>
                <c:pt idx="22">
                  <c:v>9.7984709799309733E-3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20B5-482A-AD18-2692C4A65CBB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20B5-482A-AD18-2692C4A65CBB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</c:numCache>
            </c:numRef>
          </c:xVal>
          <c:yVal>
            <c:numRef>
              <c:f>'means 16'!$I$37:$I$60</c:f>
              <c:numCache>
                <c:formatCode>0.0000</c:formatCode>
                <c:ptCount val="24"/>
                <c:pt idx="0">
                  <c:v>9.2200433308546909E-2</c:v>
                </c:pt>
                <c:pt idx="1">
                  <c:v>0.1981817838720083</c:v>
                </c:pt>
                <c:pt idx="2">
                  <c:v>0.30500108155632899</c:v>
                </c:pt>
                <c:pt idx="3">
                  <c:v>0.36906863322355199</c:v>
                </c:pt>
                <c:pt idx="4">
                  <c:v>0.41852056425824102</c:v>
                </c:pt>
                <c:pt idx="5">
                  <c:v>0.47588881094345198</c:v>
                </c:pt>
                <c:pt idx="6">
                  <c:v>0.49204554621829799</c:v>
                </c:pt>
                <c:pt idx="7">
                  <c:v>0.517772088986727</c:v>
                </c:pt>
                <c:pt idx="8">
                  <c:v>0.53411066908244798</c:v>
                </c:pt>
                <c:pt idx="9">
                  <c:v>0.55192868989782506</c:v>
                </c:pt>
                <c:pt idx="10">
                  <c:v>0.55288093222496904</c:v>
                </c:pt>
                <c:pt idx="11">
                  <c:v>0.57709973376449208</c:v>
                </c:pt>
                <c:pt idx="12">
                  <c:v>0.58167158027273802</c:v>
                </c:pt>
                <c:pt idx="13">
                  <c:v>0.59816088869147099</c:v>
                </c:pt>
                <c:pt idx="14">
                  <c:v>0.58818413737764397</c:v>
                </c:pt>
                <c:pt idx="15">
                  <c:v>0.61440467906655605</c:v>
                </c:pt>
                <c:pt idx="16">
                  <c:v>0.62020835033223798</c:v>
                </c:pt>
                <c:pt idx="17">
                  <c:v>0.63147048530452199</c:v>
                </c:pt>
                <c:pt idx="18">
                  <c:v>0.64369893636965103</c:v>
                </c:pt>
                <c:pt idx="19">
                  <c:v>0.62665671287412006</c:v>
                </c:pt>
                <c:pt idx="20">
                  <c:v>0.636367188511344</c:v>
                </c:pt>
                <c:pt idx="21">
                  <c:v>0.62998149723109509</c:v>
                </c:pt>
                <c:pt idx="22">
                  <c:v>0.63057410875228093</c:v>
                </c:pt>
                <c:pt idx="23">
                  <c:v>0.62645842221792392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20B5-482A-AD18-2692C4A65CBB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16'!$K$37:$K$60</c:f>
              <c:numCache>
                <c:formatCode>0.0000</c:formatCode>
                <c:ptCount val="24"/>
                <c:pt idx="0">
                  <c:v>0.10789773644650019</c:v>
                </c:pt>
                <c:pt idx="1">
                  <c:v>0.20298668355106059</c:v>
                </c:pt>
                <c:pt idx="2">
                  <c:v>0.275234244181701</c:v>
                </c:pt>
                <c:pt idx="3">
                  <c:v>0.30971309677053399</c:v>
                </c:pt>
                <c:pt idx="4">
                  <c:v>0.33214454018562301</c:v>
                </c:pt>
                <c:pt idx="5">
                  <c:v>0.35719128960983099</c:v>
                </c:pt>
                <c:pt idx="6">
                  <c:v>0.36168157101119103</c:v>
                </c:pt>
                <c:pt idx="7">
                  <c:v>0.37054671254070903</c:v>
                </c:pt>
                <c:pt idx="8">
                  <c:v>0.37548202590672553</c:v>
                </c:pt>
                <c:pt idx="9">
                  <c:v>0.38144001038806163</c:v>
                </c:pt>
                <c:pt idx="10">
                  <c:v>0.3810045089947055</c:v>
                </c:pt>
                <c:pt idx="11">
                  <c:v>0.38651567581973451</c:v>
                </c:pt>
                <c:pt idx="12">
                  <c:v>0.38758983353176052</c:v>
                </c:pt>
                <c:pt idx="13">
                  <c:v>0.39060503601826552</c:v>
                </c:pt>
                <c:pt idx="14">
                  <c:v>0.38732340618373429</c:v>
                </c:pt>
                <c:pt idx="15">
                  <c:v>0.39359972852270769</c:v>
                </c:pt>
                <c:pt idx="16">
                  <c:v>0.39314882536291784</c:v>
                </c:pt>
                <c:pt idx="17">
                  <c:v>0.39489739260980589</c:v>
                </c:pt>
                <c:pt idx="18">
                  <c:v>0.3943368245629848</c:v>
                </c:pt>
                <c:pt idx="19">
                  <c:v>0.39406639821272371</c:v>
                </c:pt>
                <c:pt idx="20">
                  <c:v>0.3939802729912591</c:v>
                </c:pt>
                <c:pt idx="21">
                  <c:v>0.39420151842414153</c:v>
                </c:pt>
                <c:pt idx="22">
                  <c:v>0.39400848233941521</c:v>
                </c:pt>
                <c:pt idx="23">
                  <c:v>0.39507005932296435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20B5-482A-AD18-2692C4A65CBB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16'!$M$37:$M$60</c:f>
              <c:numCache>
                <c:formatCode>0.0000</c:formatCode>
                <c:ptCount val="24"/>
                <c:pt idx="0">
                  <c:v>3.4459609970683792E-2</c:v>
                </c:pt>
                <c:pt idx="1">
                  <c:v>4.1469622904504094E-2</c:v>
                </c:pt>
                <c:pt idx="2">
                  <c:v>4.160887788055101E-2</c:v>
                </c:pt>
                <c:pt idx="3">
                  <c:v>4.0257074323454989E-2</c:v>
                </c:pt>
                <c:pt idx="4">
                  <c:v>3.8541639350187978E-2</c:v>
                </c:pt>
                <c:pt idx="5">
                  <c:v>3.537265384017102E-2</c:v>
                </c:pt>
                <c:pt idx="6">
                  <c:v>3.4718675959022005E-2</c:v>
                </c:pt>
                <c:pt idx="7">
                  <c:v>3.314357061109402E-2</c:v>
                </c:pt>
                <c:pt idx="8">
                  <c:v>3.2074350123179024E-2</c:v>
                </c:pt>
                <c:pt idx="9">
                  <c:v>3.0648231635617973E-2</c:v>
                </c:pt>
                <c:pt idx="10">
                  <c:v>3.0766265241102986E-2</c:v>
                </c:pt>
                <c:pt idx="11">
                  <c:v>2.9120825341663992E-2</c:v>
                </c:pt>
                <c:pt idx="12">
                  <c:v>2.8796728057979004E-2</c:v>
                </c:pt>
                <c:pt idx="13">
                  <c:v>2.7566451070939024E-2</c:v>
                </c:pt>
                <c:pt idx="14">
                  <c:v>2.8579451407026002E-2</c:v>
                </c:pt>
                <c:pt idx="15">
                  <c:v>2.6248534638531995E-2</c:v>
                </c:pt>
                <c:pt idx="16">
                  <c:v>2.5961189687142006E-2</c:v>
                </c:pt>
                <c:pt idx="17">
                  <c:v>2.4968716257729007E-2</c:v>
                </c:pt>
                <c:pt idx="18">
                  <c:v>2.4155732867658986E-2</c:v>
                </c:pt>
                <c:pt idx="19">
                  <c:v>2.5411389190020006E-2</c:v>
                </c:pt>
                <c:pt idx="20">
                  <c:v>2.476329414124101E-2</c:v>
                </c:pt>
                <c:pt idx="21">
                  <c:v>2.5166173510872025E-2</c:v>
                </c:pt>
                <c:pt idx="22">
                  <c:v>2.5164027309379E-2</c:v>
                </c:pt>
                <c:pt idx="23">
                  <c:v>2.5298409248878995E-2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20B5-482A-AD18-2692C4A65CBB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16'!$N$37:$N$60</c:f>
              <c:numCache>
                <c:formatCode>0.0000</c:formatCode>
                <c:ptCount val="24"/>
                <c:pt idx="0">
                  <c:v>9.9807134063116004E-2</c:v>
                </c:pt>
                <c:pt idx="1">
                  <c:v>0.1943484547811479</c:v>
                </c:pt>
                <c:pt idx="2">
                  <c:v>0.28744710117574301</c:v>
                </c:pt>
                <c:pt idx="3">
                  <c:v>0.34345263745615101</c:v>
                </c:pt>
                <c:pt idx="4">
                  <c:v>0.38593315516813598</c:v>
                </c:pt>
                <c:pt idx="5">
                  <c:v>0.436458719056317</c:v>
                </c:pt>
                <c:pt idx="6">
                  <c:v>0.44983710389614601</c:v>
                </c:pt>
                <c:pt idx="7">
                  <c:v>0.47278144328207</c:v>
                </c:pt>
                <c:pt idx="8">
                  <c:v>0.48678151103848899</c:v>
                </c:pt>
                <c:pt idx="9">
                  <c:v>0.50237336320889403</c:v>
                </c:pt>
                <c:pt idx="10">
                  <c:v>0.50347532453438903</c:v>
                </c:pt>
                <c:pt idx="11">
                  <c:v>0.52477647163506802</c:v>
                </c:pt>
                <c:pt idx="12">
                  <c:v>0.52902304553822699</c:v>
                </c:pt>
                <c:pt idx="13">
                  <c:v>0.54327898842705502</c:v>
                </c:pt>
                <c:pt idx="14">
                  <c:v>0.53431957031861199</c:v>
                </c:pt>
                <c:pt idx="15">
                  <c:v>0.55790446959930606</c:v>
                </c:pt>
                <c:pt idx="16">
                  <c:v>0.56268636451035603</c:v>
                </c:pt>
                <c:pt idx="17">
                  <c:v>0.57281579357956502</c:v>
                </c:pt>
                <c:pt idx="18">
                  <c:v>0.58364455005397309</c:v>
                </c:pt>
                <c:pt idx="19">
                  <c:v>0.56842895715290598</c:v>
                </c:pt>
                <c:pt idx="20">
                  <c:v>0.57710177390475303</c:v>
                </c:pt>
                <c:pt idx="21">
                  <c:v>0.57133868511370201</c:v>
                </c:pt>
                <c:pt idx="22">
                  <c:v>0.57191869258737293</c:v>
                </c:pt>
                <c:pt idx="23">
                  <c:v>0.56864495228323708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20B5-482A-AD18-2692C4A65CBB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16'!$O$37:$O$60</c:f>
              <c:numCache>
                <c:formatCode>0.0000</c:formatCode>
                <c:ptCount val="24"/>
                <c:pt idx="0">
                  <c:v>2.4583986653903794E-2</c:v>
                </c:pt>
                <c:pt idx="1">
                  <c:v>4.1962242671188199E-2</c:v>
                </c:pt>
                <c:pt idx="2">
                  <c:v>7.0917388651312918E-2</c:v>
                </c:pt>
                <c:pt idx="3">
                  <c:v>9.4708529506536299E-2</c:v>
                </c:pt>
                <c:pt idx="4">
                  <c:v>0.11511307835832399</c:v>
                </c:pt>
                <c:pt idx="5">
                  <c:v>0.13984383983272752</c:v>
                </c:pt>
                <c:pt idx="6">
                  <c:v>0.14827167334902969</c:v>
                </c:pt>
                <c:pt idx="7">
                  <c:v>0.16157399794198271</c:v>
                </c:pt>
                <c:pt idx="8">
                  <c:v>0.16985178889904812</c:v>
                </c:pt>
                <c:pt idx="9">
                  <c:v>0.17843228483755208</c:v>
                </c:pt>
                <c:pt idx="10">
                  <c:v>0.18017233583026376</c:v>
                </c:pt>
                <c:pt idx="11">
                  <c:v>0.19465659827160198</c:v>
                </c:pt>
                <c:pt idx="12">
                  <c:v>0.19772766381927104</c:v>
                </c:pt>
                <c:pt idx="13">
                  <c:v>0.20773686091410454</c:v>
                </c:pt>
                <c:pt idx="14">
                  <c:v>0.2027711231615493</c:v>
                </c:pt>
                <c:pt idx="15">
                  <c:v>0.2183690471586846</c:v>
                </c:pt>
                <c:pt idx="16">
                  <c:v>0.22299753782104662</c:v>
                </c:pt>
                <c:pt idx="17">
                  <c:v>0.23058160467037853</c:v>
                </c:pt>
                <c:pt idx="18">
                  <c:v>0.24104809168824282</c:v>
                </c:pt>
                <c:pt idx="19">
                  <c:v>0.22732874723697802</c:v>
                </c:pt>
                <c:pt idx="20">
                  <c:v>0.23544444074170484</c:v>
                </c:pt>
                <c:pt idx="21">
                  <c:v>0.2298176025882156</c:v>
                </c:pt>
                <c:pt idx="22">
                  <c:v>0.23062158320064219</c:v>
                </c:pt>
                <c:pt idx="23">
                  <c:v>0.22682597380701791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20B5-482A-AD18-2692C4A65CBB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8.2785370316449197E-2</c:v>
                </c:pt>
                <c:pt idx="2">
                  <c:v>0.124178055474673</c:v>
                </c:pt>
                <c:pt idx="3">
                  <c:v>0.16557074063289901</c:v>
                </c:pt>
                <c:pt idx="4">
                  <c:v>0.20696342579112501</c:v>
                </c:pt>
                <c:pt idx="5">
                  <c:v>0.24835611094934701</c:v>
                </c:pt>
                <c:pt idx="6">
                  <c:v>0.28974879610757398</c:v>
                </c:pt>
                <c:pt idx="7">
                  <c:v>0.33114148126580201</c:v>
                </c:pt>
                <c:pt idx="8">
                  <c:v>0.37253416642402898</c:v>
                </c:pt>
                <c:pt idx="9">
                  <c:v>0.41392685158225401</c:v>
                </c:pt>
                <c:pt idx="10">
                  <c:v>0.45531953674048198</c:v>
                </c:pt>
                <c:pt idx="11">
                  <c:v>0.49671222189869702</c:v>
                </c:pt>
                <c:pt idx="12">
                  <c:v>0.53810490705692104</c:v>
                </c:pt>
                <c:pt idx="13">
                  <c:v>0.57949759221514796</c:v>
                </c:pt>
                <c:pt idx="14">
                  <c:v>0.62089027737337599</c:v>
                </c:pt>
                <c:pt idx="15">
                  <c:v>0.66228296253160401</c:v>
                </c:pt>
                <c:pt idx="16">
                  <c:v>0.70367564768982804</c:v>
                </c:pt>
                <c:pt idx="17">
                  <c:v>0.74506833284805596</c:v>
                </c:pt>
                <c:pt idx="18">
                  <c:v>0.78646101800627</c:v>
                </c:pt>
                <c:pt idx="19">
                  <c:v>0.82785370316449902</c:v>
                </c:pt>
                <c:pt idx="20">
                  <c:v>0.86924638832272305</c:v>
                </c:pt>
                <c:pt idx="21">
                  <c:v>0.91063907348095496</c:v>
                </c:pt>
                <c:pt idx="22">
                  <c:v>0.95203175863917899</c:v>
                </c:pt>
                <c:pt idx="23">
                  <c:v>0.99342444379740302</c:v>
                </c:pt>
              </c:numCache>
            </c:numRef>
          </c:xVal>
          <c:yVal>
            <c:numRef>
              <c:f>'means 16'!$P$37:$P$60</c:f>
              <c:numCache>
                <c:formatCode>0.0000</c:formatCode>
                <c:ptCount val="24"/>
                <c:pt idx="0">
                  <c:v>0.109682757379896</c:v>
                </c:pt>
                <c:pt idx="1">
                  <c:v>0.1938558350144638</c:v>
                </c:pt>
                <c:pt idx="2">
                  <c:v>0.25813859040498111</c:v>
                </c:pt>
                <c:pt idx="3">
                  <c:v>0.2890011822730697</c:v>
                </c:pt>
                <c:pt idx="4">
                  <c:v>0.30936171615999997</c:v>
                </c:pt>
                <c:pt idx="5">
                  <c:v>0.3319875330637605</c:v>
                </c:pt>
                <c:pt idx="6">
                  <c:v>0.33628410650613832</c:v>
                </c:pt>
                <c:pt idx="7">
                  <c:v>0.34435101595118134</c:v>
                </c:pt>
                <c:pt idx="8">
                  <c:v>0.34900407226261992</c:v>
                </c:pt>
                <c:pt idx="9">
                  <c:v>0.35458931000695987</c:v>
                </c:pt>
                <c:pt idx="10">
                  <c:v>0.3540692539452282</c:v>
                </c:pt>
                <c:pt idx="11">
                  <c:v>0.35924069870512998</c:v>
                </c:pt>
                <c:pt idx="12">
                  <c:v>0.36009210977693501</c:v>
                </c:pt>
                <c:pt idx="13">
                  <c:v>0.36310857858388951</c:v>
                </c:pt>
                <c:pt idx="14">
                  <c:v>0.36012789856408867</c:v>
                </c:pt>
                <c:pt idx="15">
                  <c:v>0.3657839570791534</c:v>
                </c:pt>
                <c:pt idx="16">
                  <c:v>0.36565001637645145</c:v>
                </c:pt>
                <c:pt idx="17">
                  <c:v>0.36720290516691551</c:v>
                </c:pt>
                <c:pt idx="18">
                  <c:v>0.3667521912333892</c:v>
                </c:pt>
                <c:pt idx="19">
                  <c:v>0.36651159910594799</c:v>
                </c:pt>
                <c:pt idx="20">
                  <c:v>0.3664206273042892</c:v>
                </c:pt>
                <c:pt idx="21">
                  <c:v>0.36668725603635843</c:v>
                </c:pt>
                <c:pt idx="22">
                  <c:v>0.3664611366961098</c:v>
                </c:pt>
                <c:pt idx="23">
                  <c:v>0.36711738772509811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20B5-482A-AD18-2692C4A65C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539968"/>
        <c:axId val="185546240"/>
      </c:scatterChart>
      <c:valAx>
        <c:axId val="18553996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46240"/>
        <c:crosses val="autoZero"/>
        <c:crossBetween val="midCat"/>
        <c:minorUnit val="0.1"/>
      </c:valAx>
      <c:valAx>
        <c:axId val="185546240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3996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32'!$L$37:$L$59</c:f>
              <c:numCache>
                <c:formatCode>0.0000</c:formatCode>
                <c:ptCount val="23"/>
                <c:pt idx="0">
                  <c:v>5.7370261629299098E-2</c:v>
                </c:pt>
                <c:pt idx="1">
                  <c:v>0.117009952839665</c:v>
                </c:pt>
                <c:pt idx="2">
                  <c:v>0.17329294669050299</c:v>
                </c:pt>
                <c:pt idx="3">
                  <c:v>0.24329794168357799</c:v>
                </c:pt>
                <c:pt idx="4">
                  <c:v>0.29515154124128001</c:v>
                </c:pt>
                <c:pt idx="5">
                  <c:v>0.34225331439383799</c:v>
                </c:pt>
                <c:pt idx="6">
                  <c:v>0.35688791179450002</c:v>
                </c:pt>
                <c:pt idx="7">
                  <c:v>0.39294569694929699</c:v>
                </c:pt>
                <c:pt idx="8">
                  <c:v>0.42426300408982198</c:v>
                </c:pt>
                <c:pt idx="9">
                  <c:v>0.44583371305838199</c:v>
                </c:pt>
                <c:pt idx="10">
                  <c:v>0.45799850494234001</c:v>
                </c:pt>
                <c:pt idx="11">
                  <c:v>0.489686358233686</c:v>
                </c:pt>
                <c:pt idx="12">
                  <c:v>0.50298898153334903</c:v>
                </c:pt>
                <c:pt idx="13">
                  <c:v>0.51117545545544896</c:v>
                </c:pt>
                <c:pt idx="14">
                  <c:v>0.52487381414711198</c:v>
                </c:pt>
                <c:pt idx="15">
                  <c:v>0.53618524629596398</c:v>
                </c:pt>
                <c:pt idx="16">
                  <c:v>0.544422391596178</c:v>
                </c:pt>
                <c:pt idx="17">
                  <c:v>0.55328222494827395</c:v>
                </c:pt>
                <c:pt idx="18">
                  <c:v>0.54224417557274796</c:v>
                </c:pt>
                <c:pt idx="19">
                  <c:v>0.568382889718961</c:v>
                </c:pt>
                <c:pt idx="20">
                  <c:v>0.55505419607264606</c:v>
                </c:pt>
                <c:pt idx="21">
                  <c:v>0.58076149099860896</c:v>
                </c:pt>
                <c:pt idx="22">
                  <c:v>0.59089082634781098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8AF-44DE-951F-36B1EDC14B15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</c:numCache>
            </c:numRef>
          </c:xVal>
          <c:yVal>
            <c:numRef>
              <c:f>'means 32'!$J$37:$J$60</c:f>
              <c:numCache>
                <c:formatCode>0.0000</c:formatCode>
                <c:ptCount val="24"/>
                <c:pt idx="0">
                  <c:v>2.9587420599412398E-2</c:v>
                </c:pt>
                <c:pt idx="1">
                  <c:v>4.4616104853661909E-2</c:v>
                </c:pt>
                <c:pt idx="2">
                  <c:v>5.481568375544299E-2</c:v>
                </c:pt>
                <c:pt idx="3">
                  <c:v>6.9018818540300009E-2</c:v>
                </c:pt>
                <c:pt idx="4">
                  <c:v>0.10425424226601601</c:v>
                </c:pt>
                <c:pt idx="5">
                  <c:v>0.12651750898008698</c:v>
                </c:pt>
                <c:pt idx="6">
                  <c:v>0.15326510569578503</c:v>
                </c:pt>
                <c:pt idx="7">
                  <c:v>0.17782143748697002</c:v>
                </c:pt>
                <c:pt idx="8">
                  <c:v>0.20802546044582501</c:v>
                </c:pt>
                <c:pt idx="9">
                  <c:v>0.22813208945990698</c:v>
                </c:pt>
                <c:pt idx="10">
                  <c:v>0.244910127254863</c:v>
                </c:pt>
                <c:pt idx="11">
                  <c:v>0.27977810317176399</c:v>
                </c:pt>
                <c:pt idx="12">
                  <c:v>0.29990641495456594</c:v>
                </c:pt>
                <c:pt idx="13">
                  <c:v>0.30847712862617305</c:v>
                </c:pt>
                <c:pt idx="14">
                  <c:v>0.32546958991642005</c:v>
                </c:pt>
                <c:pt idx="15">
                  <c:v>0.341089844576205</c:v>
                </c:pt>
                <c:pt idx="16">
                  <c:v>0.35549801630023597</c:v>
                </c:pt>
                <c:pt idx="17">
                  <c:v>0.36733601897279994</c:v>
                </c:pt>
                <c:pt idx="18">
                  <c:v>0.35167449274459206</c:v>
                </c:pt>
                <c:pt idx="19">
                  <c:v>0.39111486438412402</c:v>
                </c:pt>
                <c:pt idx="20">
                  <c:v>0.36989776337804403</c:v>
                </c:pt>
                <c:pt idx="21">
                  <c:v>0.41089337685060195</c:v>
                </c:pt>
                <c:pt idx="22">
                  <c:v>0.42607205045184604</c:v>
                </c:pt>
                <c:pt idx="23">
                  <c:v>0.43589164004519398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B8AF-44DE-951F-36B1EDC14B15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8AF-44DE-951F-36B1EDC14B15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32'!$B$37:$B$60</c:f>
              <c:numCache>
                <c:formatCode>0.0000</c:formatCode>
                <c:ptCount val="24"/>
                <c:pt idx="0">
                  <c:v>5.3047957161461101E-2</c:v>
                </c:pt>
                <c:pt idx="1">
                  <c:v>0.109946655465942</c:v>
                </c:pt>
                <c:pt idx="2">
                  <c:v>0.171966421559958</c:v>
                </c:pt>
                <c:pt idx="3">
                  <c:v>0.25693041329876898</c:v>
                </c:pt>
                <c:pt idx="4">
                  <c:v>0.317064886500038</c:v>
                </c:pt>
                <c:pt idx="5">
                  <c:v>0.37925316985290097</c:v>
                </c:pt>
                <c:pt idx="6">
                  <c:v>0.40168365773891102</c:v>
                </c:pt>
                <c:pt idx="7">
                  <c:v>0.44754730764697398</c:v>
                </c:pt>
                <c:pt idx="8">
                  <c:v>0.48832115254437197</c:v>
                </c:pt>
                <c:pt idx="9">
                  <c:v>0.50520128908427098</c:v>
                </c:pt>
                <c:pt idx="10">
                  <c:v>0.52544892482499395</c:v>
                </c:pt>
                <c:pt idx="11">
                  <c:v>0.56439897176595799</c:v>
                </c:pt>
                <c:pt idx="12">
                  <c:v>0.57376091211740299</c:v>
                </c:pt>
                <c:pt idx="13">
                  <c:v>0.59283427179047798</c:v>
                </c:pt>
                <c:pt idx="14">
                  <c:v>0.61635254698418296</c:v>
                </c:pt>
                <c:pt idx="15">
                  <c:v>0.62601247295203499</c:v>
                </c:pt>
                <c:pt idx="16">
                  <c:v>0.62954718757019601</c:v>
                </c:pt>
                <c:pt idx="17">
                  <c:v>0.64668882652331505</c:v>
                </c:pt>
                <c:pt idx="18">
                  <c:v>0.62067647771805701</c:v>
                </c:pt>
                <c:pt idx="19">
                  <c:v>0.65910360069950602</c:v>
                </c:pt>
                <c:pt idx="20">
                  <c:v>0.66356756232802605</c:v>
                </c:pt>
                <c:pt idx="21">
                  <c:v>0.70540486558040205</c:v>
                </c:pt>
                <c:pt idx="22">
                  <c:v>0.691948501274119</c:v>
                </c:pt>
                <c:pt idx="23">
                  <c:v>0.71460911027137397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8AF-44DE-951F-36B1EDC14B15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32'!$C$37:$C$60</c:f>
              <c:numCache>
                <c:formatCode>0.0000</c:formatCode>
                <c:ptCount val="24"/>
                <c:pt idx="0">
                  <c:v>4.3970395749022548E-2</c:v>
                </c:pt>
                <c:pt idx="1">
                  <c:v>6.6320999164302591E-2</c:v>
                </c:pt>
                <c:pt idx="2">
                  <c:v>-0.77422889179770205</c:v>
                </c:pt>
                <c:pt idx="3">
                  <c:v>-21.035924930400132</c:v>
                </c:pt>
                <c:pt idx="4">
                  <c:v>-24.589178810972861</c:v>
                </c:pt>
                <c:pt idx="5">
                  <c:v>-51.715631361112699</c:v>
                </c:pt>
                <c:pt idx="6">
                  <c:v>-44.791711053060084</c:v>
                </c:pt>
                <c:pt idx="7">
                  <c:v>-72.643546711644234</c:v>
                </c:pt>
                <c:pt idx="8">
                  <c:v>-83.506714100944222</c:v>
                </c:pt>
                <c:pt idx="9">
                  <c:v>-68.664909899786636</c:v>
                </c:pt>
                <c:pt idx="10">
                  <c:v>-93.037201551073395</c:v>
                </c:pt>
                <c:pt idx="11">
                  <c:v>-119.26252742365304</c:v>
                </c:pt>
                <c:pt idx="12">
                  <c:v>-99.400531230394293</c:v>
                </c:pt>
                <c:pt idx="13">
                  <c:v>-118.33354654822652</c:v>
                </c:pt>
                <c:pt idx="14">
                  <c:v>-134.74141221858582</c:v>
                </c:pt>
                <c:pt idx="15">
                  <c:v>-141.95969448662396</c:v>
                </c:pt>
                <c:pt idx="16">
                  <c:v>-119.70936663581081</c:v>
                </c:pt>
                <c:pt idx="17">
                  <c:v>-135.35124658084669</c:v>
                </c:pt>
                <c:pt idx="18">
                  <c:v>-117.04807778789393</c:v>
                </c:pt>
                <c:pt idx="19">
                  <c:v>-138.67563144533651</c:v>
                </c:pt>
                <c:pt idx="20">
                  <c:v>-175.50199036905099</c:v>
                </c:pt>
                <c:pt idx="21">
                  <c:v>-180.42277281663462</c:v>
                </c:pt>
                <c:pt idx="22">
                  <c:v>-141.5786147249529</c:v>
                </c:pt>
                <c:pt idx="23">
                  <c:v>-164.78496381335162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8AF-44DE-951F-36B1EDC14B15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32'!$D$37:$D$60</c:f>
              <c:numCache>
                <c:formatCode>0.0000</c:formatCode>
                <c:ptCount val="24"/>
                <c:pt idx="0">
                  <c:v>6.2125518573899655E-2</c:v>
                </c:pt>
                <c:pt idx="1">
                  <c:v>0.1535723117675814</c:v>
                </c:pt>
                <c:pt idx="2">
                  <c:v>1.1181617349176181</c:v>
                </c:pt>
                <c:pt idx="3">
                  <c:v>21.549785756997668</c:v>
                </c:pt>
                <c:pt idx="4">
                  <c:v>25.223308583972937</c:v>
                </c:pt>
                <c:pt idx="5">
                  <c:v>52.474137700818503</c:v>
                </c:pt>
                <c:pt idx="6">
                  <c:v>45.595078368537912</c:v>
                </c:pt>
                <c:pt idx="7">
                  <c:v>73.538641326938176</c:v>
                </c:pt>
                <c:pt idx="8">
                  <c:v>84.483356406032968</c:v>
                </c:pt>
                <c:pt idx="9">
                  <c:v>69.675312477955174</c:v>
                </c:pt>
                <c:pt idx="10">
                  <c:v>94.088099400723394</c:v>
                </c:pt>
                <c:pt idx="11">
                  <c:v>120.39132536718495</c:v>
                </c:pt>
                <c:pt idx="12">
                  <c:v>100.54805305462911</c:v>
                </c:pt>
                <c:pt idx="13">
                  <c:v>119.51921509180748</c:v>
                </c:pt>
                <c:pt idx="14">
                  <c:v>135.9741173125542</c:v>
                </c:pt>
                <c:pt idx="15">
                  <c:v>143.21171943252801</c:v>
                </c:pt>
                <c:pt idx="16">
                  <c:v>120.9684610109512</c:v>
                </c:pt>
                <c:pt idx="17">
                  <c:v>136.6446242338933</c:v>
                </c:pt>
                <c:pt idx="18">
                  <c:v>118.28943074333006</c:v>
                </c:pt>
                <c:pt idx="19">
                  <c:v>139.9938386467355</c:v>
                </c:pt>
                <c:pt idx="20">
                  <c:v>176.82912549370701</c:v>
                </c:pt>
                <c:pt idx="21">
                  <c:v>181.8335825477954</c:v>
                </c:pt>
                <c:pt idx="22">
                  <c:v>142.96251172750112</c:v>
                </c:pt>
                <c:pt idx="23">
                  <c:v>166.21418203389436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8AF-44DE-951F-36B1EDC14B15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32'!$E$37:$E$60</c:f>
              <c:numCache>
                <c:formatCode>0.0000</c:formatCode>
                <c:ptCount val="24"/>
                <c:pt idx="0">
                  <c:v>2.1681780495004799E-2</c:v>
                </c:pt>
                <c:pt idx="1">
                  <c:v>4.0551044347245394E-2</c:v>
                </c:pt>
                <c:pt idx="2">
                  <c:v>4.0727703713134999E-2</c:v>
                </c:pt>
                <c:pt idx="3">
                  <c:v>4.0129284658923986E-2</c:v>
                </c:pt>
                <c:pt idx="4">
                  <c:v>8.2337989312920995E-2</c:v>
                </c:pt>
                <c:pt idx="5">
                  <c:v>9.8648106213834963E-2</c:v>
                </c:pt>
                <c:pt idx="6">
                  <c:v>0.13238341135091802</c:v>
                </c:pt>
                <c:pt idx="7">
                  <c:v>0.152964332390293</c:v>
                </c:pt>
                <c:pt idx="8">
                  <c:v>0.19001716100821597</c:v>
                </c:pt>
                <c:pt idx="9">
                  <c:v>0.21801630821137097</c:v>
                </c:pt>
                <c:pt idx="10">
                  <c:v>0.22600938912693896</c:v>
                </c:pt>
                <c:pt idx="11">
                  <c:v>0.258928780324722</c:v>
                </c:pt>
                <c:pt idx="12">
                  <c:v>0.28886618119323298</c:v>
                </c:pt>
                <c:pt idx="13">
                  <c:v>0.295640675452428</c:v>
                </c:pt>
                <c:pt idx="14">
                  <c:v>0.31349365720248096</c:v>
                </c:pt>
                <c:pt idx="15">
                  <c:v>0.32342260975631498</c:v>
                </c:pt>
                <c:pt idx="16">
                  <c:v>0.34657776165255799</c:v>
                </c:pt>
                <c:pt idx="17">
                  <c:v>0.36210724020099205</c:v>
                </c:pt>
                <c:pt idx="18">
                  <c:v>0.33997496414017903</c:v>
                </c:pt>
                <c:pt idx="19">
                  <c:v>0.38018451909997103</c:v>
                </c:pt>
                <c:pt idx="20">
                  <c:v>0.35548726867281805</c:v>
                </c:pt>
                <c:pt idx="21">
                  <c:v>0.41227804098392307</c:v>
                </c:pt>
                <c:pt idx="22">
                  <c:v>0.42276662000550402</c:v>
                </c:pt>
                <c:pt idx="23">
                  <c:v>0.44363399083016497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B8AF-44DE-951F-36B1EDC14B15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32'!$F$37:$F$60</c:f>
              <c:numCache>
                <c:formatCode>0.0000</c:formatCode>
                <c:ptCount val="24"/>
                <c:pt idx="0">
                  <c:v>8.4414133827917404E-2</c:v>
                </c:pt>
                <c:pt idx="1">
                  <c:v>0.17934226658463859</c:v>
                </c:pt>
                <c:pt idx="2">
                  <c:v>0.30320513940678101</c:v>
                </c:pt>
                <c:pt idx="3">
                  <c:v>0.473731541938614</c:v>
                </c:pt>
                <c:pt idx="4">
                  <c:v>0.55179178368715498</c:v>
                </c:pt>
                <c:pt idx="5">
                  <c:v>0.65985823349196693</c:v>
                </c:pt>
                <c:pt idx="6">
                  <c:v>0.67098390412690401</c:v>
                </c:pt>
                <c:pt idx="7">
                  <c:v>0.7421302829036549</c:v>
                </c:pt>
                <c:pt idx="8">
                  <c:v>0.78662514408052797</c:v>
                </c:pt>
                <c:pt idx="9">
                  <c:v>0.79238626995717099</c:v>
                </c:pt>
                <c:pt idx="10">
                  <c:v>0.82488846052304887</c:v>
                </c:pt>
                <c:pt idx="11">
                  <c:v>0.86986916320719398</c:v>
                </c:pt>
                <c:pt idx="12">
                  <c:v>0.85865564304157305</c:v>
                </c:pt>
                <c:pt idx="13">
                  <c:v>0.89002786812852797</c:v>
                </c:pt>
                <c:pt idx="14">
                  <c:v>0.91921143676588501</c:v>
                </c:pt>
                <c:pt idx="15">
                  <c:v>0.928602336147755</c:v>
                </c:pt>
                <c:pt idx="16">
                  <c:v>0.91251661348783397</c:v>
                </c:pt>
                <c:pt idx="17">
                  <c:v>0.93127041284563805</c:v>
                </c:pt>
                <c:pt idx="18">
                  <c:v>0.90137799129593499</c:v>
                </c:pt>
                <c:pt idx="19">
                  <c:v>0.93802268229904096</c:v>
                </c:pt>
                <c:pt idx="20">
                  <c:v>0.971647855983234</c:v>
                </c:pt>
                <c:pt idx="21">
                  <c:v>0.99853169017688104</c:v>
                </c:pt>
                <c:pt idx="22">
                  <c:v>0.96113038254273397</c:v>
                </c:pt>
                <c:pt idx="23">
                  <c:v>0.98558422971258297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B8AF-44DE-951F-36B1EDC14B15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32'!$G$37:$G$60</c:f>
              <c:numCache>
                <c:formatCode>0.0000</c:formatCode>
                <c:ptCount val="24"/>
                <c:pt idx="0">
                  <c:v>5.2570061177371598E-2</c:v>
                </c:pt>
                <c:pt idx="1">
                  <c:v>0.109009927945467</c:v>
                </c:pt>
                <c:pt idx="2">
                  <c:v>0.16506108447960399</c:v>
                </c:pt>
                <c:pt idx="3">
                  <c:v>0.23717574081736201</c:v>
                </c:pt>
                <c:pt idx="4">
                  <c:v>0.29229063434431501</c:v>
                </c:pt>
                <c:pt idx="5">
                  <c:v>0.34283434611338698</c:v>
                </c:pt>
                <c:pt idx="6">
                  <c:v>0.35825481175047902</c:v>
                </c:pt>
                <c:pt idx="7">
                  <c:v>0.39821249776853801</c:v>
                </c:pt>
                <c:pt idx="8">
                  <c:v>0.43169786949296102</c:v>
                </c:pt>
                <c:pt idx="9">
                  <c:v>0.455845633300417</c:v>
                </c:pt>
                <c:pt idx="10">
                  <c:v>0.46849483775286899</c:v>
                </c:pt>
                <c:pt idx="11">
                  <c:v>0.50382246129302199</c:v>
                </c:pt>
                <c:pt idx="12">
                  <c:v>0.51835841404703697</c:v>
                </c:pt>
                <c:pt idx="13">
                  <c:v>0.52730073625033502</c:v>
                </c:pt>
                <c:pt idx="14">
                  <c:v>0.54221522687592205</c:v>
                </c:pt>
                <c:pt idx="15">
                  <c:v>0.55480972640794102</c:v>
                </c:pt>
                <c:pt idx="16">
                  <c:v>0.56371891908371896</c:v>
                </c:pt>
                <c:pt idx="17">
                  <c:v>0.57365331688852195</c:v>
                </c:pt>
                <c:pt idx="18">
                  <c:v>0.56146130944946304</c:v>
                </c:pt>
                <c:pt idx="19">
                  <c:v>0.59023653360588502</c:v>
                </c:pt>
                <c:pt idx="20">
                  <c:v>0.57554120089490401</c:v>
                </c:pt>
                <c:pt idx="21">
                  <c:v>0.60395047271745095</c:v>
                </c:pt>
                <c:pt idx="22">
                  <c:v>0.61519135336798303</c:v>
                </c:pt>
                <c:pt idx="23">
                  <c:v>0.62119481360163598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B8AF-44DE-951F-36B1EDC14B15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32'!$H$37:$H$59</c:f>
              <c:numCache>
                <c:formatCode>0.0000</c:formatCode>
                <c:ptCount val="23"/>
                <c:pt idx="0">
                  <c:v>3.7702313701221402E-2</c:v>
                </c:pt>
                <c:pt idx="1">
                  <c:v>6.2660109644734202E-2</c:v>
                </c:pt>
                <c:pt idx="2">
                  <c:v>7.6157995496732092E-2</c:v>
                </c:pt>
                <c:pt idx="3">
                  <c:v>8.0947998898247997E-2</c:v>
                </c:pt>
                <c:pt idx="4">
                  <c:v>8.2695533742610017E-2</c:v>
                </c:pt>
                <c:pt idx="5">
                  <c:v>7.6796603666383967E-2</c:v>
                </c:pt>
                <c:pt idx="6">
                  <c:v>8.0098343240601E-2</c:v>
                </c:pt>
                <c:pt idx="7">
                  <c:v>7.3702370788074012E-2</c:v>
                </c:pt>
                <c:pt idx="8">
                  <c:v>6.9300700700905993E-2</c:v>
                </c:pt>
                <c:pt idx="9">
                  <c:v>6.4678903266414012E-2</c:v>
                </c:pt>
                <c:pt idx="10">
                  <c:v>6.3904015934490965E-2</c:v>
                </c:pt>
                <c:pt idx="11">
                  <c:v>5.6772431394154999E-2</c:v>
                </c:pt>
                <c:pt idx="12">
                  <c:v>5.5048652070750992E-2</c:v>
                </c:pt>
                <c:pt idx="13">
                  <c:v>5.2705673406540032E-2</c:v>
                </c:pt>
                <c:pt idx="14">
                  <c:v>4.934805056009206E-2</c:v>
                </c:pt>
                <c:pt idx="15">
                  <c:v>4.667372333485198E-2</c:v>
                </c:pt>
                <c:pt idx="16">
                  <c:v>4.5590311790963955E-2</c:v>
                </c:pt>
                <c:pt idx="17">
                  <c:v>4.3041610079356918E-2</c:v>
                </c:pt>
                <c:pt idx="18">
                  <c:v>4.5834733300846087E-2</c:v>
                </c:pt>
                <c:pt idx="19">
                  <c:v>3.9556806252566967E-2</c:v>
                </c:pt>
                <c:pt idx="20">
                  <c:v>4.2617955403048025E-2</c:v>
                </c:pt>
                <c:pt idx="21">
                  <c:v>3.6361306980540964E-2</c:v>
                </c:pt>
                <c:pt idx="22">
                  <c:v>3.3254120732508996E-2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B8AF-44DE-951F-36B1EDC14B15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B8AF-44DE-951F-36B1EDC14B15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</c:numCache>
            </c:numRef>
          </c:xVal>
          <c:yVal>
            <c:numRef>
              <c:f>'means 32'!$I$37:$I$60</c:f>
              <c:numCache>
                <c:formatCode>0.0000</c:formatCode>
                <c:ptCount val="24"/>
                <c:pt idx="0">
                  <c:v>6.7437808653521794E-2</c:v>
                </c:pt>
                <c:pt idx="1">
                  <c:v>0.1553597462461998</c:v>
                </c:pt>
                <c:pt idx="2">
                  <c:v>0.25396417346247591</c:v>
                </c:pt>
                <c:pt idx="3">
                  <c:v>0.39340348273647602</c:v>
                </c:pt>
                <c:pt idx="4">
                  <c:v>0.50188573494601996</c:v>
                </c:pt>
                <c:pt idx="5">
                  <c:v>0.60887208856038999</c:v>
                </c:pt>
                <c:pt idx="6">
                  <c:v>0.63641128026035698</c:v>
                </c:pt>
                <c:pt idx="7">
                  <c:v>0.72272262474900195</c:v>
                </c:pt>
                <c:pt idx="8">
                  <c:v>0.79409503828501604</c:v>
                </c:pt>
                <c:pt idx="9">
                  <c:v>0.84701236333441998</c:v>
                </c:pt>
                <c:pt idx="10">
                  <c:v>0.87308565957124706</c:v>
                </c:pt>
                <c:pt idx="11">
                  <c:v>0.95087249119188899</c:v>
                </c:pt>
                <c:pt idx="12">
                  <c:v>0.98166817602332301</c:v>
                </c:pt>
                <c:pt idx="13">
                  <c:v>1.00189579909413</c:v>
                </c:pt>
                <c:pt idx="14">
                  <c:v>1.035082403191752</c:v>
                </c:pt>
                <c:pt idx="15">
                  <c:v>1.0629457294810301</c:v>
                </c:pt>
                <c:pt idx="16">
                  <c:v>1.081847526376474</c:v>
                </c:pt>
                <c:pt idx="17">
                  <c:v>1.104265023697687</c:v>
                </c:pt>
                <c:pt idx="18">
                  <c:v>1.0770878855980799</c:v>
                </c:pt>
                <c:pt idx="19">
                  <c:v>1.140916260959203</c:v>
                </c:pt>
                <c:pt idx="20">
                  <c:v>1.1084644463867601</c:v>
                </c:pt>
                <c:pt idx="21">
                  <c:v>1.171539638454361</c:v>
                </c:pt>
                <c:pt idx="22">
                  <c:v>1.1971285860034571</c:v>
                </c:pt>
                <c:pt idx="23">
                  <c:v>1.210440876427221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B8AF-44DE-951F-36B1EDC14B15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32'!$K$37:$K$60</c:f>
              <c:numCache>
                <c:formatCode>0.0000</c:formatCode>
                <c:ptCount val="24"/>
                <c:pt idx="0">
                  <c:v>7.5552701755330798E-2</c:v>
                </c:pt>
                <c:pt idx="1">
                  <c:v>0.1734037510372721</c:v>
                </c:pt>
                <c:pt idx="2">
                  <c:v>0.27530648520376499</c:v>
                </c:pt>
                <c:pt idx="3">
                  <c:v>0.40533266309442401</c:v>
                </c:pt>
                <c:pt idx="4">
                  <c:v>0.48032702642261405</c:v>
                </c:pt>
                <c:pt idx="5">
                  <c:v>0.559151183246687</c:v>
                </c:pt>
                <c:pt idx="6">
                  <c:v>0.56324451780517304</c:v>
                </c:pt>
                <c:pt idx="7">
                  <c:v>0.61860355805010603</c:v>
                </c:pt>
                <c:pt idx="8">
                  <c:v>0.655370278540097</c:v>
                </c:pt>
                <c:pt idx="9">
                  <c:v>0.68355917714092707</c:v>
                </c:pt>
                <c:pt idx="10">
                  <c:v>0.69207954825087503</c:v>
                </c:pt>
                <c:pt idx="11">
                  <c:v>0.72786681941428</c:v>
                </c:pt>
                <c:pt idx="12">
                  <c:v>0.73681041313950801</c:v>
                </c:pt>
                <c:pt idx="13">
                  <c:v>0.746124343874497</c:v>
                </c:pt>
                <c:pt idx="14">
                  <c:v>0.75896086383542405</c:v>
                </c:pt>
                <c:pt idx="15">
                  <c:v>0.76852960823967709</c:v>
                </c:pt>
                <c:pt idx="16">
                  <c:v>0.771939821867202</c:v>
                </c:pt>
                <c:pt idx="17">
                  <c:v>0.77997061480424401</c:v>
                </c:pt>
                <c:pt idx="18">
                  <c:v>0.77124812615433402</c:v>
                </c:pt>
                <c:pt idx="19">
                  <c:v>0.78935820282764602</c:v>
                </c:pt>
                <c:pt idx="20">
                  <c:v>0.781184638411764</c:v>
                </c:pt>
                <c:pt idx="21">
                  <c:v>0.79700756858429989</c:v>
                </c:pt>
                <c:pt idx="22">
                  <c:v>0.80431065628412002</c:v>
                </c:pt>
                <c:pt idx="23">
                  <c:v>0.80649798715807797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B8AF-44DE-951F-36B1EDC14B15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32'!$M$37:$M$60</c:f>
              <c:numCache>
                <c:formatCode>0.0000</c:formatCode>
                <c:ptCount val="24"/>
                <c:pt idx="0">
                  <c:v>4.0282936167490901E-2</c:v>
                </c:pt>
                <c:pt idx="1">
                  <c:v>6.6272132812608714E-2</c:v>
                </c:pt>
                <c:pt idx="2">
                  <c:v>8.0780717275047598E-2</c:v>
                </c:pt>
                <c:pt idx="3">
                  <c:v>8.9920457849762991E-2</c:v>
                </c:pt>
                <c:pt idx="4">
                  <c:v>9.4514630887471002E-2</c:v>
                </c:pt>
                <c:pt idx="5">
                  <c:v>9.4481756313433002E-2</c:v>
                </c:pt>
                <c:pt idx="6">
                  <c:v>9.7102508104767005E-2</c:v>
                </c:pt>
                <c:pt idx="7">
                  <c:v>9.5731744306275013E-2</c:v>
                </c:pt>
                <c:pt idx="8">
                  <c:v>9.5060387951037995E-2</c:v>
                </c:pt>
                <c:pt idx="9">
                  <c:v>9.3751599127698981E-2</c:v>
                </c:pt>
                <c:pt idx="10">
                  <c:v>9.4072288497461021E-2</c:v>
                </c:pt>
                <c:pt idx="11">
                  <c:v>9.202024092745803E-2</c:v>
                </c:pt>
                <c:pt idx="12">
                  <c:v>9.1696837672649023E-2</c:v>
                </c:pt>
                <c:pt idx="13">
                  <c:v>9.0938657801703959E-2</c:v>
                </c:pt>
                <c:pt idx="14">
                  <c:v>8.991166512780896E-2</c:v>
                </c:pt>
                <c:pt idx="15">
                  <c:v>8.913599431345598E-2</c:v>
                </c:pt>
                <c:pt idx="16">
                  <c:v>8.8959872841511023E-2</c:v>
                </c:pt>
                <c:pt idx="17">
                  <c:v>8.8129379201166924E-2</c:v>
                </c:pt>
                <c:pt idx="18">
                  <c:v>8.8974060161260971E-2</c:v>
                </c:pt>
                <c:pt idx="19">
                  <c:v>8.7093049485542029E-2</c:v>
                </c:pt>
                <c:pt idx="20">
                  <c:v>8.7988763741976062E-2</c:v>
                </c:pt>
                <c:pt idx="21">
                  <c:v>8.607373724007894E-2</c:v>
                </c:pt>
                <c:pt idx="22">
                  <c:v>8.502401006886795E-2</c:v>
                </c:pt>
                <c:pt idx="23">
                  <c:v>8.4632687633600989E-2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B8AF-44DE-951F-36B1EDC14B15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32'!$N$37:$N$60</c:f>
              <c:numCache>
                <c:formatCode>0.0000</c:formatCode>
                <c:ptCount val="24"/>
                <c:pt idx="0">
                  <c:v>7.4457587091107294E-2</c:v>
                </c:pt>
                <c:pt idx="1">
                  <c:v>0.1677477728667213</c:v>
                </c:pt>
                <c:pt idx="2">
                  <c:v>0.26580517610595839</c:v>
                </c:pt>
                <c:pt idx="3">
                  <c:v>0.39667542551739299</c:v>
                </c:pt>
                <c:pt idx="4">
                  <c:v>0.495788451595089</c:v>
                </c:pt>
                <c:pt idx="5">
                  <c:v>0.59002487247424296</c:v>
                </c:pt>
                <c:pt idx="6">
                  <c:v>0.61667331548423299</c:v>
                </c:pt>
                <c:pt idx="7">
                  <c:v>0.69015964959231901</c:v>
                </c:pt>
                <c:pt idx="8">
                  <c:v>0.75346562022860597</c:v>
                </c:pt>
                <c:pt idx="9">
                  <c:v>0.79791582698906494</c:v>
                </c:pt>
                <c:pt idx="10">
                  <c:v>0.82192472138721895</c:v>
                </c:pt>
                <c:pt idx="11">
                  <c:v>0.88735247553991403</c:v>
                </c:pt>
                <c:pt idx="12">
                  <c:v>0.91428112539404904</c:v>
                </c:pt>
                <c:pt idx="13">
                  <c:v>0.93141225310919395</c:v>
                </c:pt>
                <c:pt idx="14">
                  <c:v>0.95983596316641506</c:v>
                </c:pt>
                <c:pt idx="15">
                  <c:v>0.98323449827847198</c:v>
                </c:pt>
                <c:pt idx="16">
                  <c:v>0.99988491035084492</c:v>
                </c:pt>
                <c:pt idx="17">
                  <c:v>1.0184350706953809</c:v>
                </c:pt>
                <c:pt idx="18">
                  <c:v>0.99551429098423494</c:v>
                </c:pt>
                <c:pt idx="19">
                  <c:v>1.04967272995238</c:v>
                </c:pt>
                <c:pt idx="20">
                  <c:v>1.022119628403316</c:v>
                </c:pt>
                <c:pt idx="21">
                  <c:v>1.0754492447571389</c:v>
                </c:pt>
                <c:pt idx="22">
                  <c:v>1.096757642626754</c:v>
                </c:pt>
                <c:pt idx="23">
                  <c:v>1.1081279583957511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B8AF-44DE-951F-36B1EDC14B15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32'!$O$37:$O$60</c:f>
              <c:numCache>
                <c:formatCode>0.0000</c:formatCode>
                <c:ptCount val="24"/>
                <c:pt idx="0">
                  <c:v>3.0563155080292496E-2</c:v>
                </c:pt>
                <c:pt idx="1">
                  <c:v>5.1930106824249603E-2</c:v>
                </c:pt>
                <c:pt idx="2">
                  <c:v>6.7166151879767988E-2</c:v>
                </c:pt>
                <c:pt idx="3">
                  <c:v>8.7009971896824995E-2</c:v>
                </c:pt>
                <c:pt idx="4">
                  <c:v>0.12168623999601103</c:v>
                </c:pt>
                <c:pt idx="5">
                  <c:v>0.14439992467705298</c:v>
                </c:pt>
                <c:pt idx="6">
                  <c:v>0.16963745537322902</c:v>
                </c:pt>
                <c:pt idx="7">
                  <c:v>0.19170251895738899</c:v>
                </c:pt>
                <c:pt idx="8">
                  <c:v>0.22085664655950499</c:v>
                </c:pt>
                <c:pt idx="9">
                  <c:v>0.23847884478530998</c:v>
                </c:pt>
                <c:pt idx="10">
                  <c:v>0.25521820399619299</c:v>
                </c:pt>
                <c:pt idx="11">
                  <c:v>0.28622039523216203</c:v>
                </c:pt>
                <c:pt idx="12">
                  <c:v>0.304646920844585</c:v>
                </c:pt>
                <c:pt idx="13">
                  <c:v>0.31268529153552094</c:v>
                </c:pt>
                <c:pt idx="14">
                  <c:v>0.32858350615902499</c:v>
                </c:pt>
                <c:pt idx="15">
                  <c:v>0.34257172800976499</c:v>
                </c:pt>
                <c:pt idx="16">
                  <c:v>0.35604093052326502</c:v>
                </c:pt>
                <c:pt idx="17">
                  <c:v>0.36648177083952493</c:v>
                </c:pt>
                <c:pt idx="18">
                  <c:v>0.35222121515336097</c:v>
                </c:pt>
                <c:pt idx="19">
                  <c:v>0.38829966590276999</c:v>
                </c:pt>
                <c:pt idx="20">
                  <c:v>0.36896331437895402</c:v>
                </c:pt>
                <c:pt idx="21">
                  <c:v>0.40616203764894498</c:v>
                </c:pt>
                <c:pt idx="22">
                  <c:v>0.41985888590023002</c:v>
                </c:pt>
                <c:pt idx="23">
                  <c:v>0.42894527624925005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B8AF-44DE-951F-36B1EDC14B15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32'!$A$37:$A$60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0.33114148126579901</c:v>
                </c:pt>
                <c:pt idx="8">
                  <c:v>0.37253416642402998</c:v>
                </c:pt>
                <c:pt idx="9">
                  <c:v>0.41392685158224901</c:v>
                </c:pt>
                <c:pt idx="10">
                  <c:v>0.45531953674048398</c:v>
                </c:pt>
                <c:pt idx="11">
                  <c:v>0.49671222189869402</c:v>
                </c:pt>
                <c:pt idx="12">
                  <c:v>0.53810490705693004</c:v>
                </c:pt>
                <c:pt idx="13">
                  <c:v>0.57949759221514796</c:v>
                </c:pt>
                <c:pt idx="14">
                  <c:v>0.620890277373365</c:v>
                </c:pt>
                <c:pt idx="15">
                  <c:v>0.66228296253160501</c:v>
                </c:pt>
                <c:pt idx="16">
                  <c:v>0.70367564768981905</c:v>
                </c:pt>
                <c:pt idx="17">
                  <c:v>0.74506833284805996</c:v>
                </c:pt>
                <c:pt idx="18">
                  <c:v>0.786461018006267</c:v>
                </c:pt>
                <c:pt idx="19">
                  <c:v>0.82785370316450801</c:v>
                </c:pt>
                <c:pt idx="20">
                  <c:v>0.86924638832272205</c:v>
                </c:pt>
                <c:pt idx="21">
                  <c:v>0.91063907348096396</c:v>
                </c:pt>
                <c:pt idx="22">
                  <c:v>0.95203175863917899</c:v>
                </c:pt>
                <c:pt idx="23">
                  <c:v>0.99342444379739403</c:v>
                </c:pt>
              </c:numCache>
            </c:numRef>
          </c:xVal>
          <c:yVal>
            <c:numRef>
              <c:f>'means 32'!$P$37:$P$60</c:f>
              <c:numCache>
                <c:formatCode>0.0000</c:formatCode>
                <c:ptCount val="24"/>
                <c:pt idx="0">
                  <c:v>8.4177368178305706E-2</c:v>
                </c:pt>
                <c:pt idx="1">
                  <c:v>0.18208979885508042</c:v>
                </c:pt>
                <c:pt idx="2">
                  <c:v>0.27941974150123799</c:v>
                </c:pt>
                <c:pt idx="3">
                  <c:v>0.39958591147033096</c:v>
                </c:pt>
                <c:pt idx="4">
                  <c:v>0.468616842486549</c:v>
                </c:pt>
                <c:pt idx="5">
                  <c:v>0.540106704110623</c:v>
                </c:pt>
                <c:pt idx="6">
                  <c:v>0.544138368215771</c:v>
                </c:pt>
                <c:pt idx="7">
                  <c:v>0.59418887494120498</c:v>
                </c:pt>
                <c:pt idx="8">
                  <c:v>0.62766936162013898</c:v>
                </c:pt>
                <c:pt idx="9">
                  <c:v>0.65318858133145397</c:v>
                </c:pt>
                <c:pt idx="10">
                  <c:v>0.66077880588848703</c:v>
                </c:pt>
                <c:pt idx="11">
                  <c:v>0.69315232123520998</c:v>
                </c:pt>
                <c:pt idx="12">
                  <c:v>0.70133104222211307</c:v>
                </c:pt>
                <c:pt idx="13">
                  <c:v>0.70966561937537698</c:v>
                </c:pt>
                <c:pt idx="14">
                  <c:v>0.72116412213519898</c:v>
                </c:pt>
                <c:pt idx="15">
                  <c:v>0.72979876458216297</c:v>
                </c:pt>
                <c:pt idx="16">
                  <c:v>0.73280385266909098</c:v>
                </c:pt>
                <c:pt idx="17">
                  <c:v>0.74008267905702296</c:v>
                </c:pt>
                <c:pt idx="18">
                  <c:v>0.73226713599213489</c:v>
                </c:pt>
                <c:pt idx="19">
                  <c:v>0.74846611353515202</c:v>
                </c:pt>
                <c:pt idx="20">
                  <c:v>0.74114507776633809</c:v>
                </c:pt>
                <c:pt idx="21">
                  <c:v>0.75536094434827294</c:v>
                </c:pt>
                <c:pt idx="22">
                  <c:v>0.76192276679539195</c:v>
                </c:pt>
                <c:pt idx="23">
                  <c:v>0.763815369780102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B8AF-44DE-951F-36B1EDC14B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788288"/>
        <c:axId val="185597952"/>
      </c:scatterChart>
      <c:valAx>
        <c:axId val="18578828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597952"/>
        <c:crosses val="autoZero"/>
        <c:crossBetween val="midCat"/>
        <c:minorUnit val="0.1"/>
      </c:valAx>
      <c:valAx>
        <c:axId val="1855979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8828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64'!$L$37:$L$59</c:f>
              <c:numCache>
                <c:formatCode>0.0000</c:formatCode>
                <c:ptCount val="23"/>
                <c:pt idx="0">
                  <c:v>5.4886700519805799E-2</c:v>
                </c:pt>
                <c:pt idx="1">
                  <c:v>0.106627556967586</c:v>
                </c:pt>
                <c:pt idx="2">
                  <c:v>0.14876531045866001</c:v>
                </c:pt>
                <c:pt idx="3">
                  <c:v>0.202244659683086</c:v>
                </c:pt>
                <c:pt idx="4">
                  <c:v>0.27104493680297498</c:v>
                </c:pt>
                <c:pt idx="5">
                  <c:v>0.33064578520578702</c:v>
                </c:pt>
                <c:pt idx="6">
                  <c:v>0.38850460607289</c:v>
                </c:pt>
                <c:pt idx="7">
                  <c:v>0.44528450356517901</c:v>
                </c:pt>
                <c:pt idx="8">
                  <c:v>0.50838848607304898</c:v>
                </c:pt>
                <c:pt idx="9">
                  <c:v>0.55427140028664101</c:v>
                </c:pt>
                <c:pt idx="10">
                  <c:v>0.60001644410220301</c:v>
                </c:pt>
                <c:pt idx="11">
                  <c:v>0.64486655363034795</c:v>
                </c:pt>
                <c:pt idx="12">
                  <c:v>0.68536657786727695</c:v>
                </c:pt>
                <c:pt idx="13">
                  <c:v>0.74301490682803695</c:v>
                </c:pt>
                <c:pt idx="14">
                  <c:v>0.76251660176712599</c:v>
                </c:pt>
                <c:pt idx="15">
                  <c:v>0.81403736603455501</c:v>
                </c:pt>
                <c:pt idx="16">
                  <c:v>0.82329888808677998</c:v>
                </c:pt>
                <c:pt idx="17">
                  <c:v>0.867451274100692</c:v>
                </c:pt>
                <c:pt idx="18">
                  <c:v>0.89886764940064701</c:v>
                </c:pt>
                <c:pt idx="19">
                  <c:v>0.88472022239213</c:v>
                </c:pt>
                <c:pt idx="20">
                  <c:v>0.939714856839591</c:v>
                </c:pt>
                <c:pt idx="21">
                  <c:v>0.97569831031313703</c:v>
                </c:pt>
                <c:pt idx="22">
                  <c:v>0.95562355489987205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ECF-4907-988A-32E74117E6F1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</c:numCache>
            </c:numRef>
          </c:xVal>
          <c:yVal>
            <c:numRef>
              <c:f>'means 64'!$J$37:$J$60</c:f>
              <c:numCache>
                <c:formatCode>0.0000</c:formatCode>
                <c:ptCount val="24"/>
                <c:pt idx="0">
                  <c:v>3.8055551069703403E-2</c:v>
                </c:pt>
                <c:pt idx="1">
                  <c:v>6.7305696587854097E-2</c:v>
                </c:pt>
                <c:pt idx="2">
                  <c:v>9.1544312553084595E-2</c:v>
                </c:pt>
                <c:pt idx="3">
                  <c:v>0.10152088004733859</c:v>
                </c:pt>
                <c:pt idx="4">
                  <c:v>8.8895548382816991E-2</c:v>
                </c:pt>
                <c:pt idx="5">
                  <c:v>0.106456188789888</c:v>
                </c:pt>
                <c:pt idx="6">
                  <c:v>0.12431777278983197</c:v>
                </c:pt>
                <c:pt idx="7">
                  <c:v>0.131812566230953</c:v>
                </c:pt>
                <c:pt idx="8">
                  <c:v>0.16582382483155106</c:v>
                </c:pt>
                <c:pt idx="9">
                  <c:v>0.18748496843409906</c:v>
                </c:pt>
                <c:pt idx="10">
                  <c:v>0.22008680541110404</c:v>
                </c:pt>
                <c:pt idx="11">
                  <c:v>0.25608516707019802</c:v>
                </c:pt>
                <c:pt idx="12">
                  <c:v>0.274688020992927</c:v>
                </c:pt>
                <c:pt idx="13">
                  <c:v>0.323702028218808</c:v>
                </c:pt>
                <c:pt idx="14">
                  <c:v>0.34279795209221298</c:v>
                </c:pt>
                <c:pt idx="15">
                  <c:v>0.38108903181925702</c:v>
                </c:pt>
                <c:pt idx="16">
                  <c:v>0.39082263608838202</c:v>
                </c:pt>
                <c:pt idx="17">
                  <c:v>0.427788098391157</c:v>
                </c:pt>
                <c:pt idx="18">
                  <c:v>0.46007311794714795</c:v>
                </c:pt>
                <c:pt idx="19">
                  <c:v>0.45280985719174505</c:v>
                </c:pt>
                <c:pt idx="20">
                  <c:v>0.50429946129018899</c:v>
                </c:pt>
                <c:pt idx="21">
                  <c:v>0.54877289257585804</c:v>
                </c:pt>
                <c:pt idx="22">
                  <c:v>0.5264942210231851</c:v>
                </c:pt>
                <c:pt idx="23">
                  <c:v>0.59186425038783808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ECF-4907-988A-32E74117E6F1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ECF-4907-988A-32E74117E6F1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64'!$B$37:$B$60</c:f>
              <c:numCache>
                <c:formatCode>0.0000</c:formatCode>
                <c:ptCount val="24"/>
                <c:pt idx="0">
                  <c:v>5.0962155086612303E-2</c:v>
                </c:pt>
                <c:pt idx="1">
                  <c:v>0.101257604066051</c:v>
                </c:pt>
                <c:pt idx="2">
                  <c:v>0.14818875679441301</c:v>
                </c:pt>
                <c:pt idx="3">
                  <c:v>0.212900919050485</c:v>
                </c:pt>
                <c:pt idx="4">
                  <c:v>0.28838883279557898</c:v>
                </c:pt>
                <c:pt idx="5">
                  <c:v>0.352078237175588</c:v>
                </c:pt>
                <c:pt idx="6">
                  <c:v>0.41057116326561899</c:v>
                </c:pt>
                <c:pt idx="7">
                  <c:v>0.46558574028420702</c:v>
                </c:pt>
                <c:pt idx="8">
                  <c:v>0.52493911476103505</c:v>
                </c:pt>
                <c:pt idx="9">
                  <c:v>0.549793210453701</c:v>
                </c:pt>
                <c:pt idx="10">
                  <c:v>0.58696268265944496</c:v>
                </c:pt>
                <c:pt idx="11">
                  <c:v>0.62346791418723202</c:v>
                </c:pt>
                <c:pt idx="12">
                  <c:v>0.64321449404820397</c:v>
                </c:pt>
                <c:pt idx="13">
                  <c:v>0.67575666238572996</c:v>
                </c:pt>
                <c:pt idx="14">
                  <c:v>0.68940041618943804</c:v>
                </c:pt>
                <c:pt idx="15">
                  <c:v>0.71739816498599296</c:v>
                </c:pt>
                <c:pt idx="16">
                  <c:v>0.72489560651640395</c:v>
                </c:pt>
                <c:pt idx="17">
                  <c:v>0.74456686704158603</c:v>
                </c:pt>
                <c:pt idx="18">
                  <c:v>0.74222696401216104</c:v>
                </c:pt>
                <c:pt idx="19">
                  <c:v>0.75433150405385496</c:v>
                </c:pt>
                <c:pt idx="20">
                  <c:v>0.78908709251123199</c:v>
                </c:pt>
                <c:pt idx="21">
                  <c:v>0.80678446915982205</c:v>
                </c:pt>
                <c:pt idx="22">
                  <c:v>0.805289015679166</c:v>
                </c:pt>
                <c:pt idx="23">
                  <c:v>0.81607770297572602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ECF-4907-988A-32E74117E6F1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64'!$C$37:$C$60</c:f>
              <c:numCache>
                <c:formatCode>0.0000</c:formatCode>
                <c:ptCount val="24"/>
                <c:pt idx="0">
                  <c:v>5.0945810587738033E-2</c:v>
                </c:pt>
                <c:pt idx="1">
                  <c:v>0.10036822305757161</c:v>
                </c:pt>
                <c:pt idx="2">
                  <c:v>0.14027395437593332</c:v>
                </c:pt>
                <c:pt idx="3">
                  <c:v>-2.0125704184697002E-2</c:v>
                </c:pt>
                <c:pt idx="4">
                  <c:v>-0.30179864747472401</c:v>
                </c:pt>
                <c:pt idx="5">
                  <c:v>-3.754802169645302</c:v>
                </c:pt>
                <c:pt idx="6">
                  <c:v>-2.7750140217362613</c:v>
                </c:pt>
                <c:pt idx="7">
                  <c:v>-5.4002271961195429</c:v>
                </c:pt>
                <c:pt idx="8">
                  <c:v>-10.833057044045965</c:v>
                </c:pt>
                <c:pt idx="9">
                  <c:v>-16.1583786804384</c:v>
                </c:pt>
                <c:pt idx="10">
                  <c:v>-11.130416119490455</c:v>
                </c:pt>
                <c:pt idx="11">
                  <c:v>-15.874954144511166</c:v>
                </c:pt>
                <c:pt idx="12">
                  <c:v>-24.301699168659695</c:v>
                </c:pt>
                <c:pt idx="13">
                  <c:v>-23.735030416267769</c:v>
                </c:pt>
                <c:pt idx="14">
                  <c:v>-28.342895105555662</c:v>
                </c:pt>
                <c:pt idx="15">
                  <c:v>-21.903901515617505</c:v>
                </c:pt>
                <c:pt idx="16">
                  <c:v>-24.079653390392593</c:v>
                </c:pt>
                <c:pt idx="17">
                  <c:v>-29.594695660159712</c:v>
                </c:pt>
                <c:pt idx="18">
                  <c:v>-36.228090417884339</c:v>
                </c:pt>
                <c:pt idx="19">
                  <c:v>-63.341902943106547</c:v>
                </c:pt>
                <c:pt idx="20">
                  <c:v>-49.496992278134471</c:v>
                </c:pt>
                <c:pt idx="21">
                  <c:v>-56.656598701944979</c:v>
                </c:pt>
                <c:pt idx="22">
                  <c:v>-45.533856572075535</c:v>
                </c:pt>
                <c:pt idx="23">
                  <c:v>-29.488491634845975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ECF-4907-988A-32E74117E6F1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64'!$D$37:$D$60</c:f>
              <c:numCache>
                <c:formatCode>0.0000</c:formatCode>
                <c:ptCount val="24"/>
                <c:pt idx="0">
                  <c:v>5.0978499585486572E-2</c:v>
                </c:pt>
                <c:pt idx="1">
                  <c:v>0.10214698507453039</c:v>
                </c:pt>
                <c:pt idx="2">
                  <c:v>0.15610355921289271</c:v>
                </c:pt>
                <c:pt idx="3">
                  <c:v>0.445927542285667</c:v>
                </c:pt>
                <c:pt idx="4">
                  <c:v>0.87857631306588191</c:v>
                </c:pt>
                <c:pt idx="5">
                  <c:v>4.4589586439964783</c:v>
                </c:pt>
                <c:pt idx="6">
                  <c:v>3.596156348267499</c:v>
                </c:pt>
                <c:pt idx="7">
                  <c:v>6.3313986766879573</c:v>
                </c:pt>
                <c:pt idx="8">
                  <c:v>11.882935273568034</c:v>
                </c:pt>
                <c:pt idx="9">
                  <c:v>17.2579651013458</c:v>
                </c:pt>
                <c:pt idx="10">
                  <c:v>12.304341484809346</c:v>
                </c:pt>
                <c:pt idx="11">
                  <c:v>17.121889972885629</c:v>
                </c:pt>
                <c:pt idx="12">
                  <c:v>25.588128156756106</c:v>
                </c:pt>
                <c:pt idx="13">
                  <c:v>25.086543741039229</c:v>
                </c:pt>
                <c:pt idx="14">
                  <c:v>29.721695937934541</c:v>
                </c:pt>
                <c:pt idx="15">
                  <c:v>23.338697845589493</c:v>
                </c:pt>
                <c:pt idx="16">
                  <c:v>25.529444603425404</c:v>
                </c:pt>
                <c:pt idx="17">
                  <c:v>31.083829394242887</c:v>
                </c:pt>
                <c:pt idx="18">
                  <c:v>37.712544345908661</c:v>
                </c:pt>
                <c:pt idx="19">
                  <c:v>64.85056595121425</c:v>
                </c:pt>
                <c:pt idx="20">
                  <c:v>51.075166463156933</c:v>
                </c:pt>
                <c:pt idx="21">
                  <c:v>58.270167640264624</c:v>
                </c:pt>
                <c:pt idx="22">
                  <c:v>47.144434603433865</c:v>
                </c:pt>
                <c:pt idx="23">
                  <c:v>31.120647040797426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ECF-4907-988A-32E74117E6F1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64'!$E$37:$E$60</c:f>
              <c:numCache>
                <c:formatCode>0.0000</c:formatCode>
                <c:ptCount val="24"/>
                <c:pt idx="0">
                  <c:v>3.7944367225124405E-2</c:v>
                </c:pt>
                <c:pt idx="1">
                  <c:v>6.5074783150252308E-2</c:v>
                </c:pt>
                <c:pt idx="2">
                  <c:v>8.6058028385076812E-2</c:v>
                </c:pt>
                <c:pt idx="3">
                  <c:v>8.083146762249499E-2</c:v>
                </c:pt>
                <c:pt idx="4">
                  <c:v>0.10791552813972999</c:v>
                </c:pt>
                <c:pt idx="5">
                  <c:v>0.1388778033934</c:v>
                </c:pt>
                <c:pt idx="6">
                  <c:v>0.17603966319716699</c:v>
                </c:pt>
                <c:pt idx="7">
                  <c:v>0.21592439630738802</c:v>
                </c:pt>
                <c:pt idx="8">
                  <c:v>0.25592880764868203</c:v>
                </c:pt>
                <c:pt idx="9">
                  <c:v>0.29030265243999298</c:v>
                </c:pt>
                <c:pt idx="10">
                  <c:v>0.32137153525382095</c:v>
                </c:pt>
                <c:pt idx="11">
                  <c:v>0.36130645004520001</c:v>
                </c:pt>
                <c:pt idx="12">
                  <c:v>0.37420313127134097</c:v>
                </c:pt>
                <c:pt idx="13">
                  <c:v>0.41122403830561194</c:v>
                </c:pt>
                <c:pt idx="14">
                  <c:v>0.43152534240806506</c:v>
                </c:pt>
                <c:pt idx="15">
                  <c:v>0.46139687019752096</c:v>
                </c:pt>
                <c:pt idx="16">
                  <c:v>0.47211857598718393</c:v>
                </c:pt>
                <c:pt idx="17">
                  <c:v>0.50260127844397007</c:v>
                </c:pt>
                <c:pt idx="18">
                  <c:v>0.49314572973048804</c:v>
                </c:pt>
                <c:pt idx="19">
                  <c:v>0.49816630483192198</c:v>
                </c:pt>
                <c:pt idx="20">
                  <c:v>0.53575065686714107</c:v>
                </c:pt>
                <c:pt idx="21">
                  <c:v>0.56647415942748902</c:v>
                </c:pt>
                <c:pt idx="22">
                  <c:v>0.58193939391891203</c:v>
                </c:pt>
                <c:pt idx="23">
                  <c:v>0.60506906912208303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ECF-4907-988A-32E74117E6F1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64'!$F$37:$F$60</c:f>
              <c:numCache>
                <c:formatCode>0.0000</c:formatCode>
                <c:ptCount val="24"/>
                <c:pt idx="0">
                  <c:v>6.3979942948100207E-2</c:v>
                </c:pt>
                <c:pt idx="1">
                  <c:v>0.13744042498184969</c:v>
                </c:pt>
                <c:pt idx="2">
                  <c:v>0.21031948520374921</c:v>
                </c:pt>
                <c:pt idx="3">
                  <c:v>0.34497037047847501</c:v>
                </c:pt>
                <c:pt idx="4">
                  <c:v>0.46886213745142796</c:v>
                </c:pt>
                <c:pt idx="5">
                  <c:v>0.56527867095777595</c:v>
                </c:pt>
                <c:pt idx="6">
                  <c:v>0.64510266333407096</c:v>
                </c:pt>
                <c:pt idx="7">
                  <c:v>0.71524708426102601</c:v>
                </c:pt>
                <c:pt idx="8">
                  <c:v>0.79394942187338802</c:v>
                </c:pt>
                <c:pt idx="9">
                  <c:v>0.80928376846740901</c:v>
                </c:pt>
                <c:pt idx="10">
                  <c:v>0.85255383006506902</c:v>
                </c:pt>
                <c:pt idx="11">
                  <c:v>0.88562937832926403</c:v>
                </c:pt>
                <c:pt idx="12">
                  <c:v>0.91222585682506696</c:v>
                </c:pt>
                <c:pt idx="13">
                  <c:v>0.94028928646584797</c:v>
                </c:pt>
                <c:pt idx="14">
                  <c:v>0.94727548997081101</c:v>
                </c:pt>
                <c:pt idx="15">
                  <c:v>0.97339945977446496</c:v>
                </c:pt>
                <c:pt idx="16">
                  <c:v>0.9776726370456239</c:v>
                </c:pt>
                <c:pt idx="17">
                  <c:v>0.986532455639202</c:v>
                </c:pt>
                <c:pt idx="18">
                  <c:v>0.9913081982938341</c:v>
                </c:pt>
                <c:pt idx="19">
                  <c:v>1.0104967032757879</c:v>
                </c:pt>
                <c:pt idx="20">
                  <c:v>1.0424235281553229</c:v>
                </c:pt>
                <c:pt idx="21">
                  <c:v>1.047094778892155</c:v>
                </c:pt>
                <c:pt idx="22">
                  <c:v>1.0286386374394201</c:v>
                </c:pt>
                <c:pt idx="23">
                  <c:v>1.027086336829369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ECF-4907-988A-32E74117E6F1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64'!$G$37:$G$60</c:f>
              <c:numCache>
                <c:formatCode>0.0000</c:formatCode>
                <c:ptCount val="24"/>
                <c:pt idx="0">
                  <c:v>5.0972999288057902E-2</c:v>
                </c:pt>
                <c:pt idx="1">
                  <c:v>0.101067527709747</c:v>
                </c:pt>
                <c:pt idx="2">
                  <c:v>0.145720372828919</c:v>
                </c:pt>
                <c:pt idx="3">
                  <c:v>0.20106402523497399</c:v>
                </c:pt>
                <c:pt idx="4">
                  <c:v>0.27290611407491699</c:v>
                </c:pt>
                <c:pt idx="5">
                  <c:v>0.33492364459410501</c:v>
                </c:pt>
                <c:pt idx="6">
                  <c:v>0.39445635827914899</c:v>
                </c:pt>
                <c:pt idx="7">
                  <c:v>0.454139505382193</c:v>
                </c:pt>
                <c:pt idx="8">
                  <c:v>0.51870864391708404</c:v>
                </c:pt>
                <c:pt idx="9">
                  <c:v>0.56608129560268905</c:v>
                </c:pt>
                <c:pt idx="10">
                  <c:v>0.61322445559764804</c:v>
                </c:pt>
                <c:pt idx="11">
                  <c:v>0.65927468920259402</c:v>
                </c:pt>
                <c:pt idx="12">
                  <c:v>0.70177947053822398</c:v>
                </c:pt>
                <c:pt idx="13">
                  <c:v>0.76146352819650898</c:v>
                </c:pt>
                <c:pt idx="14">
                  <c:v>0.78151121810323898</c:v>
                </c:pt>
                <c:pt idx="15">
                  <c:v>0.83558457656658602</c:v>
                </c:pt>
                <c:pt idx="16">
                  <c:v>0.84523576572876302</c:v>
                </c:pt>
                <c:pt idx="17">
                  <c:v>0.891659042607302</c:v>
                </c:pt>
                <c:pt idx="18">
                  <c:v>0.92452436678901095</c:v>
                </c:pt>
                <c:pt idx="19">
                  <c:v>0.90940151535802405</c:v>
                </c:pt>
                <c:pt idx="20">
                  <c:v>0.96728980313406598</c:v>
                </c:pt>
                <c:pt idx="21">
                  <c:v>1.00487729337314</c:v>
                </c:pt>
                <c:pt idx="22">
                  <c:v>0.98378274370239904</c:v>
                </c:pt>
                <c:pt idx="23">
                  <c:v>1.0389160055759601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ECF-4907-988A-32E74117E6F1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64'!$H$37:$H$59</c:f>
              <c:numCache>
                <c:formatCode>0.0000</c:formatCode>
                <c:ptCount val="23"/>
                <c:pt idx="0">
                  <c:v>4.1380848857603653E-2</c:v>
                </c:pt>
                <c:pt idx="1">
                  <c:v>7.3869807269581006E-2</c:v>
                </c:pt>
                <c:pt idx="2">
                  <c:v>9.8226717097033012E-2</c:v>
                </c:pt>
                <c:pt idx="3">
                  <c:v>0.12166164794372429</c:v>
                </c:pt>
                <c:pt idx="4">
                  <c:v>0.14081318982008098</c:v>
                </c:pt>
                <c:pt idx="5">
                  <c:v>0.154140055340271</c:v>
                </c:pt>
                <c:pt idx="6">
                  <c:v>0.16248041521471099</c:v>
                </c:pt>
                <c:pt idx="7">
                  <c:v>0.16442657315260301</c:v>
                </c:pt>
                <c:pt idx="8">
                  <c:v>0.16778389610074007</c:v>
                </c:pt>
                <c:pt idx="9">
                  <c:v>0.16701860146591607</c:v>
                </c:pt>
                <c:pt idx="10">
                  <c:v>0.16677402757872606</c:v>
                </c:pt>
                <c:pt idx="11">
                  <c:v>0.16652883589501605</c:v>
                </c:pt>
                <c:pt idx="12">
                  <c:v>0.16031215477204197</c:v>
                </c:pt>
                <c:pt idx="13">
                  <c:v>0.15596701808480495</c:v>
                </c:pt>
                <c:pt idx="14">
                  <c:v>0.15487474798938894</c:v>
                </c:pt>
                <c:pt idx="15">
                  <c:v>0.145991036721142</c:v>
                </c:pt>
                <c:pt idx="16">
                  <c:v>0.14507813631025401</c:v>
                </c:pt>
                <c:pt idx="17">
                  <c:v>0.13686791530611198</c:v>
                </c:pt>
                <c:pt idx="18">
                  <c:v>0.13192314229988</c:v>
                </c:pt>
                <c:pt idx="19">
                  <c:v>0.13669313752742307</c:v>
                </c:pt>
                <c:pt idx="20">
                  <c:v>0.12528267486405298</c:v>
                </c:pt>
                <c:pt idx="21">
                  <c:v>0.11990578571739108</c:v>
                </c:pt>
                <c:pt idx="22">
                  <c:v>0.12390245445333203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ECF-4907-988A-32E74117E6F1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ECF-4907-988A-32E74117E6F1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</c:numCache>
            </c:numRef>
          </c:xVal>
          <c:yVal>
            <c:numRef>
              <c:f>'means 64'!$I$37:$I$60</c:f>
              <c:numCache>
                <c:formatCode>0.0000</c:formatCode>
                <c:ptCount val="24"/>
                <c:pt idx="0">
                  <c:v>6.0565149718512151E-2</c:v>
                </c:pt>
                <c:pt idx="1">
                  <c:v>0.128265248149913</c:v>
                </c:pt>
                <c:pt idx="2">
                  <c:v>0.193214028560805</c:v>
                </c:pt>
                <c:pt idx="3">
                  <c:v>0.28046640252622368</c:v>
                </c:pt>
                <c:pt idx="4">
                  <c:v>0.40499903832975304</c:v>
                </c:pt>
                <c:pt idx="5">
                  <c:v>0.51570723384793904</c:v>
                </c:pt>
                <c:pt idx="6">
                  <c:v>0.62643230134358696</c:v>
                </c:pt>
                <c:pt idx="7">
                  <c:v>0.74385243761178299</c:v>
                </c:pt>
                <c:pt idx="8">
                  <c:v>0.86963339173342802</c:v>
                </c:pt>
                <c:pt idx="9">
                  <c:v>0.96514398973946203</c:v>
                </c:pt>
                <c:pt idx="10">
                  <c:v>1.0596748836165699</c:v>
                </c:pt>
                <c:pt idx="11">
                  <c:v>1.1520205425101719</c:v>
                </c:pt>
                <c:pt idx="12">
                  <c:v>1.2432467863044061</c:v>
                </c:pt>
                <c:pt idx="13">
                  <c:v>1.366960038308213</c:v>
                </c:pt>
                <c:pt idx="14">
                  <c:v>1.4081476882170891</c:v>
                </c:pt>
                <c:pt idx="15">
                  <c:v>1.5251781164120302</c:v>
                </c:pt>
                <c:pt idx="16">
                  <c:v>1.545393395147272</c:v>
                </c:pt>
                <c:pt idx="17">
                  <c:v>1.6464501699084919</c:v>
                </c:pt>
                <c:pt idx="18">
                  <c:v>1.7171255912781418</c:v>
                </c:pt>
                <c:pt idx="19">
                  <c:v>1.6821098931886249</c:v>
                </c:pt>
                <c:pt idx="20">
                  <c:v>1.809296931404079</c:v>
                </c:pt>
                <c:pt idx="21">
                  <c:v>1.889848801028889</c:v>
                </c:pt>
                <c:pt idx="22">
                  <c:v>1.8436630329514661</c:v>
                </c:pt>
                <c:pt idx="23">
                  <c:v>1.9627114485846191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ECF-4907-988A-32E74117E6F1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64'!$K$37:$K$60</c:f>
              <c:numCache>
                <c:formatCode>0.0000</c:formatCode>
                <c:ptCount val="24"/>
                <c:pt idx="0">
                  <c:v>6.3890447506412401E-2</c:v>
                </c:pt>
                <c:pt idx="1">
                  <c:v>0.13482935883163991</c:v>
                </c:pt>
                <c:pt idx="2">
                  <c:v>0.19989643310475341</c:v>
                </c:pt>
                <c:pt idx="3">
                  <c:v>0.30060717042260943</c:v>
                </c:pt>
                <c:pt idx="4">
                  <c:v>0.456916679767017</c:v>
                </c:pt>
                <c:pt idx="5">
                  <c:v>0.56339110039832208</c:v>
                </c:pt>
                <c:pt idx="6">
                  <c:v>0.66459494376846595</c:v>
                </c:pt>
                <c:pt idx="7">
                  <c:v>0.77646644453343305</c:v>
                </c:pt>
                <c:pt idx="8">
                  <c:v>0.87159346300261697</c:v>
                </c:pt>
                <c:pt idx="9">
                  <c:v>0.94467762277127898</c:v>
                </c:pt>
                <c:pt idx="10">
                  <c:v>1.0063621057841921</c:v>
                </c:pt>
                <c:pt idx="11">
                  <c:v>1.06246421133499</c:v>
                </c:pt>
                <c:pt idx="12">
                  <c:v>1.128870920083521</c:v>
                </c:pt>
                <c:pt idx="13">
                  <c:v>1.1992250281742098</c:v>
                </c:pt>
                <c:pt idx="14">
                  <c:v>1.2202244841142651</c:v>
                </c:pt>
                <c:pt idx="15">
                  <c:v>1.290080121313915</c:v>
                </c:pt>
                <c:pt idx="16">
                  <c:v>1.2996488953691441</c:v>
                </c:pt>
                <c:pt idx="17">
                  <c:v>1.3555299868234469</c:v>
                </c:pt>
                <c:pt idx="18">
                  <c:v>1.3889756156308739</c:v>
                </c:pt>
                <c:pt idx="19">
                  <c:v>1.3659931735243029</c:v>
                </c:pt>
                <c:pt idx="20">
                  <c:v>1.430280144977943</c:v>
                </c:pt>
                <c:pt idx="21">
                  <c:v>1.4609816941704219</c:v>
                </c:pt>
                <c:pt idx="22">
                  <c:v>1.441071266381613</c:v>
                </c:pt>
                <c:pt idx="23">
                  <c:v>1.485967760764082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ECF-4907-988A-32E74117E6F1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64'!$M$37:$M$60</c:f>
              <c:numCache>
                <c:formatCode>0.0000</c:formatCode>
                <c:ptCount val="24"/>
                <c:pt idx="0">
                  <c:v>4.39312131822523E-2</c:v>
                </c:pt>
                <c:pt idx="1">
                  <c:v>7.7261966466861204E-2</c:v>
                </c:pt>
                <c:pt idx="2">
                  <c:v>0.10003665987912651</c:v>
                </c:pt>
                <c:pt idx="3">
                  <c:v>0.12292226473457389</c:v>
                </c:pt>
                <c:pt idx="4">
                  <c:v>8.2099987813883973E-2</c:v>
                </c:pt>
                <c:pt idx="5">
                  <c:v>4.6490471924960031E-2</c:v>
                </c:pt>
                <c:pt idx="6">
                  <c:v>-2.6692553829341992E-2</c:v>
                </c:pt>
                <c:pt idx="7">
                  <c:v>-0.18386857850271399</c:v>
                </c:pt>
                <c:pt idx="8">
                  <c:v>-0.31164352666629203</c:v>
                </c:pt>
                <c:pt idx="9">
                  <c:v>-0.45711443739940905</c:v>
                </c:pt>
                <c:pt idx="10">
                  <c:v>-0.55190177957079689</c:v>
                </c:pt>
                <c:pt idx="11">
                  <c:v>-0.67968583224956203</c:v>
                </c:pt>
                <c:pt idx="12">
                  <c:v>-0.87697748516791296</c:v>
                </c:pt>
                <c:pt idx="13">
                  <c:v>-1.077375627908453</c:v>
                </c:pt>
                <c:pt idx="14">
                  <c:v>-1.1496404303787942</c:v>
                </c:pt>
                <c:pt idx="15">
                  <c:v>-1.4139636336649648</c:v>
                </c:pt>
                <c:pt idx="16">
                  <c:v>-1.44817002169638</c:v>
                </c:pt>
                <c:pt idx="17">
                  <c:v>-1.696318921967138</c:v>
                </c:pt>
                <c:pt idx="18">
                  <c:v>-1.8457722151174027</c:v>
                </c:pt>
                <c:pt idx="19">
                  <c:v>-1.73246744795918</c:v>
                </c:pt>
                <c:pt idx="20">
                  <c:v>-2.0594829336481792</c:v>
                </c:pt>
                <c:pt idx="21">
                  <c:v>-2.215667897068673</c:v>
                </c:pt>
                <c:pt idx="22">
                  <c:v>-2.1101794889651981</c:v>
                </c:pt>
                <c:pt idx="23">
                  <c:v>-2.3626976637839503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ECF-4907-988A-32E74117E6F1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64'!$N$37:$N$60</c:f>
              <c:numCache>
                <c:formatCode>0.0000</c:formatCode>
                <c:ptCount val="24"/>
                <c:pt idx="0">
                  <c:v>6.5842187857359305E-2</c:v>
                </c:pt>
                <c:pt idx="1">
                  <c:v>0.13599314746831079</c:v>
                </c:pt>
                <c:pt idx="2">
                  <c:v>0.1974939610381935</c:v>
                </c:pt>
                <c:pt idx="3">
                  <c:v>0.28156705463159809</c:v>
                </c:pt>
                <c:pt idx="4">
                  <c:v>0.45998988579206601</c:v>
                </c:pt>
                <c:pt idx="5">
                  <c:v>0.61480109848661402</c:v>
                </c:pt>
                <c:pt idx="6">
                  <c:v>0.803701765975122</c:v>
                </c:pt>
                <c:pt idx="7">
                  <c:v>1.0744375856330719</c:v>
                </c:pt>
                <c:pt idx="8">
                  <c:v>1.32842049881239</c:v>
                </c:pt>
                <c:pt idx="9">
                  <c:v>1.5656572379726912</c:v>
                </c:pt>
                <c:pt idx="10">
                  <c:v>1.751934667775203</c:v>
                </c:pt>
                <c:pt idx="11">
                  <c:v>1.9694189395102579</c:v>
                </c:pt>
                <c:pt idx="12">
                  <c:v>2.2477106409024667</c:v>
                </c:pt>
                <c:pt idx="13">
                  <c:v>2.5634054415645267</c:v>
                </c:pt>
                <c:pt idx="14">
                  <c:v>2.6746736339130459</c:v>
                </c:pt>
                <c:pt idx="15">
                  <c:v>3.0420383657340748</c:v>
                </c:pt>
                <c:pt idx="16">
                  <c:v>3.0947677978699399</c:v>
                </c:pt>
                <c:pt idx="17">
                  <c:v>3.4312214701685217</c:v>
                </c:pt>
                <c:pt idx="18">
                  <c:v>3.643507513918697</c:v>
                </c:pt>
                <c:pt idx="19">
                  <c:v>3.5019078927434402</c:v>
                </c:pt>
                <c:pt idx="20">
                  <c:v>3.9389126473273608</c:v>
                </c:pt>
                <c:pt idx="21">
                  <c:v>4.1670645176949472</c:v>
                </c:pt>
                <c:pt idx="22">
                  <c:v>4.0214265987649425</c:v>
                </c:pt>
                <c:pt idx="23">
                  <c:v>4.37916520902683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ECF-4907-988A-32E74117E6F1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64'!$O$37:$O$60</c:f>
              <c:numCache>
                <c:formatCode>0.0000</c:formatCode>
                <c:ptCount val="24"/>
                <c:pt idx="0">
                  <c:v>3.5124046944012499E-2</c:v>
                </c:pt>
                <c:pt idx="1">
                  <c:v>7.2171610633627495E-2</c:v>
                </c:pt>
                <c:pt idx="2">
                  <c:v>9.5517859074064015E-2</c:v>
                </c:pt>
                <c:pt idx="3">
                  <c:v>0.10567945123815529</c:v>
                </c:pt>
                <c:pt idx="4">
                  <c:v>9.3574037621600992E-2</c:v>
                </c:pt>
                <c:pt idx="5">
                  <c:v>0.10979297977527103</c:v>
                </c:pt>
                <c:pt idx="6">
                  <c:v>0.12773303213980303</c:v>
                </c:pt>
                <c:pt idx="7">
                  <c:v>0.13478350611231099</c:v>
                </c:pt>
                <c:pt idx="8">
                  <c:v>0.169204541828755</c:v>
                </c:pt>
                <c:pt idx="9">
                  <c:v>0.191249821995846</c:v>
                </c:pt>
                <c:pt idx="10">
                  <c:v>0.222953464871954</c:v>
                </c:pt>
                <c:pt idx="11">
                  <c:v>0.25919466201275893</c:v>
                </c:pt>
                <c:pt idx="12">
                  <c:v>0.27728414974072296</c:v>
                </c:pt>
                <c:pt idx="13">
                  <c:v>0.32553314416141893</c:v>
                </c:pt>
                <c:pt idx="14">
                  <c:v>0.34476765853823099</c:v>
                </c:pt>
                <c:pt idx="15">
                  <c:v>0.381759524137957</c:v>
                </c:pt>
                <c:pt idx="16">
                  <c:v>0.39117652181458396</c:v>
                </c:pt>
                <c:pt idx="17">
                  <c:v>0.42689496110441</c:v>
                </c:pt>
                <c:pt idx="18">
                  <c:v>0.45811972390363703</c:v>
                </c:pt>
                <c:pt idx="19">
                  <c:v>0.45145685374876399</c:v>
                </c:pt>
                <c:pt idx="20">
                  <c:v>0.50109916756872597</c:v>
                </c:pt>
                <c:pt idx="21">
                  <c:v>0.54399943692191699</c:v>
                </c:pt>
                <c:pt idx="22">
                  <c:v>0.52266907752610403</c:v>
                </c:pt>
                <c:pt idx="23">
                  <c:v>0.58558252880665307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ECF-4907-988A-32E74117E6F1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64'!$A$37:$A$60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0.53810490705693304</c:v>
                </c:pt>
                <c:pt idx="13">
                  <c:v>0.57949759221514796</c:v>
                </c:pt>
                <c:pt idx="14">
                  <c:v>0.62089027737336699</c:v>
                </c:pt>
                <c:pt idx="15">
                  <c:v>0.66228296253159702</c:v>
                </c:pt>
                <c:pt idx="16">
                  <c:v>0.70367564768981505</c:v>
                </c:pt>
                <c:pt idx="17">
                  <c:v>0.74506833284805996</c:v>
                </c:pt>
                <c:pt idx="18">
                  <c:v>0.78646101800627899</c:v>
                </c:pt>
                <c:pt idx="19">
                  <c:v>0.82785370316449802</c:v>
                </c:pt>
                <c:pt idx="20">
                  <c:v>0.86924638832272205</c:v>
                </c:pt>
                <c:pt idx="21">
                  <c:v>0.91063907348096895</c:v>
                </c:pt>
                <c:pt idx="22">
                  <c:v>0.95203175863916201</c:v>
                </c:pt>
                <c:pt idx="23">
                  <c:v>0.99342444379738903</c:v>
                </c:pt>
              </c:numCache>
            </c:numRef>
          </c:xVal>
          <c:yVal>
            <c:numRef>
              <c:f>'means 64'!$P$37:$P$60</c:f>
              <c:numCache>
                <c:formatCode>0.0000</c:formatCode>
                <c:ptCount val="24"/>
                <c:pt idx="0">
                  <c:v>7.4649354095599099E-2</c:v>
                </c:pt>
                <c:pt idx="1">
                  <c:v>0.14108350330154451</c:v>
                </c:pt>
                <c:pt idx="2">
                  <c:v>0.20201276184325601</c:v>
                </c:pt>
                <c:pt idx="3">
                  <c:v>0.29880986812801669</c:v>
                </c:pt>
                <c:pt idx="4">
                  <c:v>0.44851583598434897</c:v>
                </c:pt>
                <c:pt idx="5">
                  <c:v>0.55149859063630302</c:v>
                </c:pt>
                <c:pt idx="6">
                  <c:v>0.64927618000597698</c:v>
                </c:pt>
                <c:pt idx="7">
                  <c:v>0.75578550101804698</c:v>
                </c:pt>
                <c:pt idx="8">
                  <c:v>0.84757243031734297</c:v>
                </c:pt>
                <c:pt idx="9">
                  <c:v>0.91729297857743597</c:v>
                </c:pt>
                <c:pt idx="10">
                  <c:v>0.97707942333245201</c:v>
                </c:pt>
                <c:pt idx="11">
                  <c:v>1.0305384452479369</c:v>
                </c:pt>
                <c:pt idx="12">
                  <c:v>1.0934490059938309</c:v>
                </c:pt>
                <c:pt idx="13">
                  <c:v>1.160496669494655</c:v>
                </c:pt>
                <c:pt idx="14">
                  <c:v>1.1802655449960211</c:v>
                </c:pt>
                <c:pt idx="15">
                  <c:v>1.246315207931153</c:v>
                </c:pt>
                <c:pt idx="16">
                  <c:v>1.255421254358976</c:v>
                </c:pt>
                <c:pt idx="17">
                  <c:v>1.3080075870969741</c:v>
                </c:pt>
                <c:pt idx="18">
                  <c:v>1.339615574897657</c:v>
                </c:pt>
                <c:pt idx="19">
                  <c:v>1.317983591035496</c:v>
                </c:pt>
                <c:pt idx="20">
                  <c:v>1.378330546110456</c:v>
                </c:pt>
                <c:pt idx="21">
                  <c:v>1.4073971837043571</c:v>
                </c:pt>
                <c:pt idx="22">
                  <c:v>1.3885780322736401</c:v>
                </c:pt>
                <c:pt idx="23">
                  <c:v>1.430885016436227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ECF-4907-988A-32E74117E6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886592"/>
        <c:axId val="185901056"/>
      </c:scatterChart>
      <c:valAx>
        <c:axId val="18588659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901056"/>
        <c:crosses val="autoZero"/>
        <c:crossBetween val="midCat"/>
        <c:minorUnit val="0.1"/>
      </c:valAx>
      <c:valAx>
        <c:axId val="185901056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88659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128'!$L$37:$L$59</c:f>
              <c:numCache>
                <c:formatCode>0.0000</c:formatCode>
                <c:ptCount val="23"/>
                <c:pt idx="0">
                  <c:v>5.7080512833191703E-2</c:v>
                </c:pt>
                <c:pt idx="1">
                  <c:v>0.102653859192396</c:v>
                </c:pt>
                <c:pt idx="2">
                  <c:v>0.153277113140906</c:v>
                </c:pt>
                <c:pt idx="3">
                  <c:v>0.19702918135314901</c:v>
                </c:pt>
                <c:pt idx="4">
                  <c:v>0.24823208284117901</c:v>
                </c:pt>
                <c:pt idx="5">
                  <c:v>0.298151811089306</c:v>
                </c:pt>
                <c:pt idx="6">
                  <c:v>0.35125922593653403</c:v>
                </c:pt>
                <c:pt idx="7">
                  <c:v>0.40449081883923599</c:v>
                </c:pt>
                <c:pt idx="8">
                  <c:v>0.458515414462695</c:v>
                </c:pt>
                <c:pt idx="9">
                  <c:v>0.51188559394150301</c:v>
                </c:pt>
                <c:pt idx="10">
                  <c:v>0.56462919758288399</c:v>
                </c:pt>
                <c:pt idx="11">
                  <c:v>0.63784134189600294</c:v>
                </c:pt>
                <c:pt idx="12">
                  <c:v>0.65003980678939199</c:v>
                </c:pt>
                <c:pt idx="13">
                  <c:v>0.72543480304996499</c:v>
                </c:pt>
                <c:pt idx="14">
                  <c:v>0.77260497738033596</c:v>
                </c:pt>
                <c:pt idx="15">
                  <c:v>0.81978022629366898</c:v>
                </c:pt>
                <c:pt idx="16">
                  <c:v>0.84669164668048902</c:v>
                </c:pt>
                <c:pt idx="17">
                  <c:v>0.88906611027218396</c:v>
                </c:pt>
                <c:pt idx="18">
                  <c:v>0.92720492052585202</c:v>
                </c:pt>
                <c:pt idx="19">
                  <c:v>0.95488232493324599</c:v>
                </c:pt>
                <c:pt idx="20">
                  <c:v>0.98569351792365301</c:v>
                </c:pt>
                <c:pt idx="21">
                  <c:v>0.99625506625955296</c:v>
                </c:pt>
                <c:pt idx="22">
                  <c:v>1.0301687298767901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7C-4232-B206-06721CBD863D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</c:numCache>
            </c:numRef>
          </c:xVal>
          <c:yVal>
            <c:numRef>
              <c:f>'means 128'!$J$37:$J$60</c:f>
              <c:numCache>
                <c:formatCode>0.0000</c:formatCode>
                <c:ptCount val="24"/>
                <c:pt idx="0">
                  <c:v>4.4512503723601576E-2</c:v>
                </c:pt>
                <c:pt idx="1">
                  <c:v>7.9497633651646096E-2</c:v>
                </c:pt>
                <c:pt idx="2">
                  <c:v>0.1110291153823208</c:v>
                </c:pt>
                <c:pt idx="3">
                  <c:v>0.1356327496473298</c:v>
                </c:pt>
                <c:pt idx="4">
                  <c:v>0.15855764856325849</c:v>
                </c:pt>
                <c:pt idx="5">
                  <c:v>0.17971412047827201</c:v>
                </c:pt>
                <c:pt idx="6">
                  <c:v>0.15884866463563699</c:v>
                </c:pt>
                <c:pt idx="7">
                  <c:v>0.19317793960153298</c:v>
                </c:pt>
                <c:pt idx="8">
                  <c:v>0.23548262417008003</c:v>
                </c:pt>
                <c:pt idx="9">
                  <c:v>0.23066731544572505</c:v>
                </c:pt>
                <c:pt idx="10">
                  <c:v>0.25990814257489003</c:v>
                </c:pt>
                <c:pt idx="11">
                  <c:v>0.23091681172385403</c:v>
                </c:pt>
                <c:pt idx="12">
                  <c:v>0.25034192954832402</c:v>
                </c:pt>
                <c:pt idx="13">
                  <c:v>0.25488464425619706</c:v>
                </c:pt>
                <c:pt idx="14">
                  <c:v>0.252449358802877</c:v>
                </c:pt>
                <c:pt idx="15">
                  <c:v>0.31332059179023808</c:v>
                </c:pt>
                <c:pt idx="16">
                  <c:v>0.31625207033553793</c:v>
                </c:pt>
                <c:pt idx="17">
                  <c:v>0.33807959065040605</c:v>
                </c:pt>
                <c:pt idx="18">
                  <c:v>0.36572473613762901</c:v>
                </c:pt>
                <c:pt idx="19">
                  <c:v>0.40224021279902111</c:v>
                </c:pt>
                <c:pt idx="20">
                  <c:v>0.42447425304143904</c:v>
                </c:pt>
                <c:pt idx="21">
                  <c:v>0.43239130294175498</c:v>
                </c:pt>
                <c:pt idx="22">
                  <c:v>0.48530606870304893</c:v>
                </c:pt>
                <c:pt idx="23">
                  <c:v>0.51251420084979193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7C-4232-B206-06721CBD863D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7C-4232-B206-06721CBD863D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128'!$B$37:$B$60</c:f>
              <c:numCache>
                <c:formatCode>0.0000</c:formatCode>
                <c:ptCount val="24"/>
                <c:pt idx="0">
                  <c:v>5.3137066190106802E-2</c:v>
                </c:pt>
                <c:pt idx="1">
                  <c:v>0.10042599614315199</c:v>
                </c:pt>
                <c:pt idx="2">
                  <c:v>0.15096598900102901</c:v>
                </c:pt>
                <c:pt idx="3">
                  <c:v>0.20180294689189299</c:v>
                </c:pt>
                <c:pt idx="4">
                  <c:v>0.26045372671146699</c:v>
                </c:pt>
                <c:pt idx="5">
                  <c:v>0.328706647984773</c:v>
                </c:pt>
                <c:pt idx="6">
                  <c:v>0.38337211978582902</c:v>
                </c:pt>
                <c:pt idx="7">
                  <c:v>0.45388005654751001</c:v>
                </c:pt>
                <c:pt idx="8">
                  <c:v>0.49777655928582798</c:v>
                </c:pt>
                <c:pt idx="9">
                  <c:v>0.54472886615065097</c:v>
                </c:pt>
                <c:pt idx="10">
                  <c:v>0.59254442455073197</c:v>
                </c:pt>
                <c:pt idx="11">
                  <c:v>0.64033006905948797</c:v>
                </c:pt>
                <c:pt idx="12">
                  <c:v>0.64993641989528905</c:v>
                </c:pt>
                <c:pt idx="13">
                  <c:v>0.68758327342437497</c:v>
                </c:pt>
                <c:pt idx="14">
                  <c:v>0.72138893046356001</c:v>
                </c:pt>
                <c:pt idx="15">
                  <c:v>0.74843770362008899</c:v>
                </c:pt>
                <c:pt idx="16">
                  <c:v>0.76234058307788999</c:v>
                </c:pt>
                <c:pt idx="17">
                  <c:v>0.77811844057678303</c:v>
                </c:pt>
                <c:pt idx="18">
                  <c:v>0.78849770046687395</c:v>
                </c:pt>
                <c:pt idx="19">
                  <c:v>0.79675922116860898</c:v>
                </c:pt>
                <c:pt idx="20">
                  <c:v>0.83935478545596498</c:v>
                </c:pt>
                <c:pt idx="21">
                  <c:v>0.86490855635164399</c:v>
                </c:pt>
                <c:pt idx="22">
                  <c:v>0.87777829909632699</c:v>
                </c:pt>
                <c:pt idx="23">
                  <c:v>0.87339107762479395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067C-4232-B206-06721CBD863D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128'!$C$37:$C$60</c:f>
              <c:numCache>
                <c:formatCode>0.0000</c:formatCode>
                <c:ptCount val="24"/>
                <c:pt idx="0">
                  <c:v>5.3133850426135172E-2</c:v>
                </c:pt>
                <c:pt idx="1">
                  <c:v>0.10040901334092926</c:v>
                </c:pt>
                <c:pt idx="2">
                  <c:v>0.15080522654661979</c:v>
                </c:pt>
                <c:pt idx="3">
                  <c:v>0.19750546383164208</c:v>
                </c:pt>
                <c:pt idx="4">
                  <c:v>0.21397731999954539</c:v>
                </c:pt>
                <c:pt idx="5">
                  <c:v>0.16501978799463202</c:v>
                </c:pt>
                <c:pt idx="6">
                  <c:v>-7.1255811240492961E-2</c:v>
                </c:pt>
                <c:pt idx="7">
                  <c:v>-0.27268618515432502</c:v>
                </c:pt>
                <c:pt idx="8">
                  <c:v>-0.42341294822777198</c:v>
                </c:pt>
                <c:pt idx="9">
                  <c:v>-0.82755330039720898</c:v>
                </c:pt>
                <c:pt idx="10">
                  <c:v>-1.1653411562782878</c:v>
                </c:pt>
                <c:pt idx="11">
                  <c:v>-1.9262580444325121</c:v>
                </c:pt>
                <c:pt idx="12">
                  <c:v>-2.0061391179416508</c:v>
                </c:pt>
                <c:pt idx="13">
                  <c:v>-2.2620124720780455</c:v>
                </c:pt>
                <c:pt idx="14">
                  <c:v>-2.9937330036317897</c:v>
                </c:pt>
                <c:pt idx="15">
                  <c:v>-3.2558753583369211</c:v>
                </c:pt>
                <c:pt idx="16">
                  <c:v>-3.7446507782596798</c:v>
                </c:pt>
                <c:pt idx="17">
                  <c:v>-3.6718613157016371</c:v>
                </c:pt>
                <c:pt idx="18">
                  <c:v>-4.2031437784163455</c:v>
                </c:pt>
                <c:pt idx="19">
                  <c:v>-4.4613810181459002</c:v>
                </c:pt>
                <c:pt idx="20">
                  <c:v>-5.1349049240406144</c:v>
                </c:pt>
                <c:pt idx="21">
                  <c:v>-5.528452828025916</c:v>
                </c:pt>
                <c:pt idx="22">
                  <c:v>-5.7455844971308139</c:v>
                </c:pt>
                <c:pt idx="23">
                  <c:v>-5.5256486781463465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067C-4232-B206-06721CBD863D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128'!$D$37:$D$60</c:f>
              <c:numCache>
                <c:formatCode>0.0000</c:formatCode>
                <c:ptCount val="24"/>
                <c:pt idx="0">
                  <c:v>5.3140281954078432E-2</c:v>
                </c:pt>
                <c:pt idx="1">
                  <c:v>0.10044297894537473</c:v>
                </c:pt>
                <c:pt idx="2">
                  <c:v>0.15112675145543822</c:v>
                </c:pt>
                <c:pt idx="3">
                  <c:v>0.20610042995214389</c:v>
                </c:pt>
                <c:pt idx="4">
                  <c:v>0.3069301334233886</c:v>
                </c:pt>
                <c:pt idx="5">
                  <c:v>0.49239350797491399</c:v>
                </c:pt>
                <c:pt idx="6">
                  <c:v>0.83800005081215101</c:v>
                </c:pt>
                <c:pt idx="7">
                  <c:v>1.1804462982493451</c:v>
                </c:pt>
                <c:pt idx="8">
                  <c:v>1.4189660667994279</c:v>
                </c:pt>
                <c:pt idx="9">
                  <c:v>1.917011032698511</c:v>
                </c:pt>
                <c:pt idx="10">
                  <c:v>2.350430005379752</c:v>
                </c:pt>
                <c:pt idx="11">
                  <c:v>3.2069181825514881</c:v>
                </c:pt>
                <c:pt idx="12">
                  <c:v>3.3060119577322289</c:v>
                </c:pt>
                <c:pt idx="13">
                  <c:v>3.637179018926795</c:v>
                </c:pt>
                <c:pt idx="14">
                  <c:v>4.43651086455891</c:v>
                </c:pt>
                <c:pt idx="15">
                  <c:v>4.7527507655770993</c:v>
                </c:pt>
                <c:pt idx="16">
                  <c:v>5.2693319444154598</c:v>
                </c:pt>
                <c:pt idx="17">
                  <c:v>5.2280981968552034</c:v>
                </c:pt>
                <c:pt idx="18">
                  <c:v>5.780139179350094</c:v>
                </c:pt>
                <c:pt idx="19">
                  <c:v>6.054899460483119</c:v>
                </c:pt>
                <c:pt idx="20">
                  <c:v>6.813614494952545</c:v>
                </c:pt>
                <c:pt idx="21">
                  <c:v>7.2582699407292033</c:v>
                </c:pt>
                <c:pt idx="22">
                  <c:v>7.501141095323467</c:v>
                </c:pt>
                <c:pt idx="23">
                  <c:v>7.2724308333959335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067C-4232-B206-06721CBD863D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128'!$E$37:$E$60</c:f>
              <c:numCache>
                <c:formatCode>0.0000</c:formatCode>
                <c:ptCount val="24"/>
                <c:pt idx="0">
                  <c:v>4.4511155223617885E-2</c:v>
                </c:pt>
                <c:pt idx="1">
                  <c:v>7.9065562673793388E-2</c:v>
                </c:pt>
                <c:pt idx="2">
                  <c:v>0.1081665202357934</c:v>
                </c:pt>
                <c:pt idx="3">
                  <c:v>0.13087264805330728</c:v>
                </c:pt>
                <c:pt idx="4">
                  <c:v>0.158624099797854</c:v>
                </c:pt>
                <c:pt idx="5">
                  <c:v>0.17727446322962001</c:v>
                </c:pt>
                <c:pt idx="6">
                  <c:v>0.20623842509619103</c:v>
                </c:pt>
                <c:pt idx="7">
                  <c:v>0.24892409967342002</c:v>
                </c:pt>
                <c:pt idx="8">
                  <c:v>0.28978242207570198</c:v>
                </c:pt>
                <c:pt idx="9">
                  <c:v>0.32722097401620998</c:v>
                </c:pt>
                <c:pt idx="10">
                  <c:v>0.37216304338712497</c:v>
                </c:pt>
                <c:pt idx="11">
                  <c:v>0.40820631834683296</c:v>
                </c:pt>
                <c:pt idx="12">
                  <c:v>0.41904390896630006</c:v>
                </c:pt>
                <c:pt idx="13">
                  <c:v>0.45779368092601297</c:v>
                </c:pt>
                <c:pt idx="14">
                  <c:v>0.48792525513666302</c:v>
                </c:pt>
                <c:pt idx="15">
                  <c:v>0.51467160117825794</c:v>
                </c:pt>
                <c:pt idx="16">
                  <c:v>0.53260190887028402</c:v>
                </c:pt>
                <c:pt idx="17">
                  <c:v>0.56082846212678406</c:v>
                </c:pt>
                <c:pt idx="18">
                  <c:v>0.55996931845131592</c:v>
                </c:pt>
                <c:pt idx="19">
                  <c:v>0.56031167402715099</c:v>
                </c:pt>
                <c:pt idx="20">
                  <c:v>0.60369025241269392</c:v>
                </c:pt>
                <c:pt idx="21">
                  <c:v>0.63925385973547499</c:v>
                </c:pt>
                <c:pt idx="22">
                  <c:v>0.67134400936765704</c:v>
                </c:pt>
                <c:pt idx="23">
                  <c:v>0.68143652427067591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067C-4232-B206-06721CBD863D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128'!$F$37:$F$60</c:f>
              <c:numCache>
                <c:formatCode>0.0000</c:formatCode>
                <c:ptCount val="24"/>
                <c:pt idx="0">
                  <c:v>6.1762977156595719E-2</c:v>
                </c:pt>
                <c:pt idx="1">
                  <c:v>0.1217864296125106</c:v>
                </c:pt>
                <c:pt idx="2">
                  <c:v>0.19376545776626461</c:v>
                </c:pt>
                <c:pt idx="3">
                  <c:v>0.27273324573047869</c:v>
                </c:pt>
                <c:pt idx="4">
                  <c:v>0.36228335362508002</c:v>
                </c:pt>
                <c:pt idx="5">
                  <c:v>0.48013883273992597</c:v>
                </c:pt>
                <c:pt idx="6">
                  <c:v>0.56050581447546699</c:v>
                </c:pt>
                <c:pt idx="7">
                  <c:v>0.65883601342160003</c:v>
                </c:pt>
                <c:pt idx="8">
                  <c:v>0.70577069649595403</c:v>
                </c:pt>
                <c:pt idx="9">
                  <c:v>0.76223675828509196</c:v>
                </c:pt>
                <c:pt idx="10">
                  <c:v>0.81292580571433892</c:v>
                </c:pt>
                <c:pt idx="11">
                  <c:v>0.87245381977214298</c:v>
                </c:pt>
                <c:pt idx="12">
                  <c:v>0.88082893082427804</c:v>
                </c:pt>
                <c:pt idx="13">
                  <c:v>0.91737286592273692</c:v>
                </c:pt>
                <c:pt idx="14">
                  <c:v>0.95485260579045694</c:v>
                </c:pt>
                <c:pt idx="15">
                  <c:v>0.98220380606192004</c:v>
                </c:pt>
                <c:pt idx="16">
                  <c:v>0.99207925728549595</c:v>
                </c:pt>
                <c:pt idx="17">
                  <c:v>0.99540841902678201</c:v>
                </c:pt>
                <c:pt idx="18">
                  <c:v>1.017026082482432</c:v>
                </c:pt>
                <c:pt idx="19">
                  <c:v>1.033206768310067</c:v>
                </c:pt>
                <c:pt idx="20">
                  <c:v>1.075019318499236</c:v>
                </c:pt>
                <c:pt idx="21">
                  <c:v>1.0905632529678129</c:v>
                </c:pt>
                <c:pt idx="22">
                  <c:v>1.0842125888249969</c:v>
                </c:pt>
                <c:pt idx="23">
                  <c:v>1.065345630978912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067C-4232-B206-06721CBD863D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128'!$G$37:$G$60</c:f>
              <c:numCache>
                <c:formatCode>0.0000</c:formatCode>
                <c:ptCount val="24"/>
                <c:pt idx="0">
                  <c:v>5.3160712074980097E-2</c:v>
                </c:pt>
                <c:pt idx="1">
                  <c:v>0.10009632523926699</c:v>
                </c:pt>
                <c:pt idx="2">
                  <c:v>0.14922282471061299</c:v>
                </c:pt>
                <c:pt idx="3">
                  <c:v>0.19578481764345501</c:v>
                </c:pt>
                <c:pt idx="4">
                  <c:v>0.247581152564116</c:v>
                </c:pt>
                <c:pt idx="5">
                  <c:v>0.29999544026466102</c:v>
                </c:pt>
                <c:pt idx="6">
                  <c:v>0.35887565276021</c:v>
                </c:pt>
                <c:pt idx="7">
                  <c:v>0.41391366114989497</c:v>
                </c:pt>
                <c:pt idx="8">
                  <c:v>0.46773027148644902</c:v>
                </c:pt>
                <c:pt idx="9">
                  <c:v>0.52736747391069405</c:v>
                </c:pt>
                <c:pt idx="10">
                  <c:v>0.58265062014126601</c:v>
                </c:pt>
                <c:pt idx="11">
                  <c:v>0.679870531859875</c:v>
                </c:pt>
                <c:pt idx="12">
                  <c:v>0.69143844388815501</c:v>
                </c:pt>
                <c:pt idx="13">
                  <c:v>0.79413429465365803</c:v>
                </c:pt>
                <c:pt idx="14">
                  <c:v>0.873748857516914</c:v>
                </c:pt>
                <c:pt idx="15">
                  <c:v>0.91899744020769603</c:v>
                </c:pt>
                <c:pt idx="16">
                  <c:v>0.97329550656085095</c:v>
                </c:pt>
                <c:pt idx="17">
                  <c:v>1.0512362409118401</c:v>
                </c:pt>
                <c:pt idx="18">
                  <c:v>1.1175111936695901</c:v>
                </c:pt>
                <c:pt idx="19">
                  <c:v>1.1487923470589101</c:v>
                </c:pt>
                <c:pt idx="20">
                  <c:v>1.22066626116315</c:v>
                </c:pt>
                <c:pt idx="21">
                  <c:v>1.24577924965557</c:v>
                </c:pt>
                <c:pt idx="22">
                  <c:v>1.2736345166026199</c:v>
                </c:pt>
                <c:pt idx="23">
                  <c:v>1.3526103838851999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067C-4232-B206-06721CBD863D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128'!$H$37:$H$59</c:f>
              <c:numCache>
                <c:formatCode>0.0000</c:formatCode>
                <c:ptCount val="23"/>
                <c:pt idx="0">
                  <c:v>4.606065989001381E-2</c:v>
                </c:pt>
                <c:pt idx="1">
                  <c:v>8.1648000341230792E-2</c:v>
                </c:pt>
                <c:pt idx="2">
                  <c:v>0.1153682127212117</c:v>
                </c:pt>
                <c:pt idx="3">
                  <c:v>0.14442419727737871</c:v>
                </c:pt>
                <c:pt idx="4">
                  <c:v>0.17388357061093221</c:v>
                </c:pt>
                <c:pt idx="5">
                  <c:v>0.20069745457447072</c:v>
                </c:pt>
                <c:pt idx="6">
                  <c:v>0.224303232241651</c:v>
                </c:pt>
                <c:pt idx="7">
                  <c:v>0.24779447014175196</c:v>
                </c:pt>
                <c:pt idx="8">
                  <c:v>0.26941642333570004</c:v>
                </c:pt>
                <c:pt idx="9">
                  <c:v>0.28563898235684604</c:v>
                </c:pt>
                <c:pt idx="10">
                  <c:v>0.30241743842417901</c:v>
                </c:pt>
                <c:pt idx="11">
                  <c:v>0.31448073866055698</c:v>
                </c:pt>
                <c:pt idx="12">
                  <c:v>0.319377882522208</c:v>
                </c:pt>
                <c:pt idx="13">
                  <c:v>0.32854408863736101</c:v>
                </c:pt>
                <c:pt idx="14">
                  <c:v>0.329300508571714</c:v>
                </c:pt>
                <c:pt idx="15">
                  <c:v>0.34207957729392502</c:v>
                </c:pt>
                <c:pt idx="16">
                  <c:v>0.34047635684135791</c:v>
                </c:pt>
                <c:pt idx="17">
                  <c:v>0.33867808652725606</c:v>
                </c:pt>
                <c:pt idx="18">
                  <c:v>0.33696776981626408</c:v>
                </c:pt>
                <c:pt idx="19">
                  <c:v>0.34182711650112008</c:v>
                </c:pt>
                <c:pt idx="20">
                  <c:v>0.33456686420508297</c:v>
                </c:pt>
                <c:pt idx="21">
                  <c:v>0.33135731756264497</c:v>
                </c:pt>
                <c:pt idx="22">
                  <c:v>0.34002891485622899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067C-4232-B206-06721CBD863D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067C-4232-B206-06721CBD863D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</c:numCache>
            </c:numRef>
          </c:xVal>
          <c:yVal>
            <c:numRef>
              <c:f>'means 128'!$I$37:$I$60</c:f>
              <c:numCache>
                <c:formatCode>0.0000</c:formatCode>
                <c:ptCount val="24"/>
                <c:pt idx="0">
                  <c:v>6.0260764259946385E-2</c:v>
                </c:pt>
                <c:pt idx="1">
                  <c:v>0.1185446501373032</c:v>
                </c:pt>
                <c:pt idx="2">
                  <c:v>0.18307743670001428</c:v>
                </c:pt>
                <c:pt idx="3">
                  <c:v>0.24714543800953132</c:v>
                </c:pt>
                <c:pt idx="4">
                  <c:v>0.32127873451729982</c:v>
                </c:pt>
                <c:pt idx="5">
                  <c:v>0.39929342595485129</c:v>
                </c:pt>
                <c:pt idx="6">
                  <c:v>0.49344807327876899</c:v>
                </c:pt>
                <c:pt idx="7">
                  <c:v>0.58003285215803801</c:v>
                </c:pt>
                <c:pt idx="8">
                  <c:v>0.66604411963719801</c:v>
                </c:pt>
                <c:pt idx="9">
                  <c:v>0.76909596546454206</c:v>
                </c:pt>
                <c:pt idx="10">
                  <c:v>0.86288380185835301</c:v>
                </c:pt>
                <c:pt idx="11">
                  <c:v>1.045260325059193</c:v>
                </c:pt>
                <c:pt idx="12">
                  <c:v>1.063499005254102</c:v>
                </c:pt>
                <c:pt idx="13">
                  <c:v>1.2597245006699551</c:v>
                </c:pt>
                <c:pt idx="14">
                  <c:v>1.418197206462114</c:v>
                </c:pt>
                <c:pt idx="15">
                  <c:v>1.4959153031214671</c:v>
                </c:pt>
                <c:pt idx="16">
                  <c:v>1.6061146562803441</c:v>
                </c:pt>
                <c:pt idx="17">
                  <c:v>1.7637943952964241</c:v>
                </c:pt>
                <c:pt idx="18">
                  <c:v>1.898054617522916</c:v>
                </c:pt>
                <c:pt idx="19">
                  <c:v>1.9557575776167</c:v>
                </c:pt>
                <c:pt idx="20">
                  <c:v>2.1067656581212173</c:v>
                </c:pt>
                <c:pt idx="21">
                  <c:v>2.1602011817484952</c:v>
                </c:pt>
                <c:pt idx="22">
                  <c:v>2.2072401183490111</c:v>
                </c:pt>
                <c:pt idx="23">
                  <c:v>2.3763064826686398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067C-4232-B206-06721CBD863D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128'!$K$37:$K$60</c:f>
              <c:numCache>
                <c:formatCode>0.0000</c:formatCode>
                <c:ptCount val="24"/>
                <c:pt idx="0">
                  <c:v>6.1808920426358618E-2</c:v>
                </c:pt>
                <c:pt idx="1">
                  <c:v>0.12069501682688789</c:v>
                </c:pt>
                <c:pt idx="2">
                  <c:v>0.18741653403890518</c:v>
                </c:pt>
                <c:pt idx="3">
                  <c:v>0.25593688563958022</c:v>
                </c:pt>
                <c:pt idx="4">
                  <c:v>0.33660465656497351</c:v>
                </c:pt>
                <c:pt idx="5">
                  <c:v>0.42027676005105002</c:v>
                </c:pt>
                <c:pt idx="6">
                  <c:v>0.55890264088478303</c:v>
                </c:pt>
                <c:pt idx="7">
                  <c:v>0.63464938269825699</c:v>
                </c:pt>
                <c:pt idx="8">
                  <c:v>0.69997791880281801</c:v>
                </c:pt>
                <c:pt idx="9">
                  <c:v>0.82406763237566305</c:v>
                </c:pt>
                <c:pt idx="10">
                  <c:v>0.90539309770764198</c:v>
                </c:pt>
                <c:pt idx="11">
                  <c:v>1.128824251995896</c:v>
                </c:pt>
                <c:pt idx="12">
                  <c:v>1.132534958227986</c:v>
                </c:pt>
                <c:pt idx="13">
                  <c:v>1.3333839450511191</c:v>
                </c:pt>
                <c:pt idx="14">
                  <c:v>1.4950483562309511</c:v>
                </c:pt>
                <c:pt idx="15">
                  <c:v>1.5246742886251541</c:v>
                </c:pt>
                <c:pt idx="16">
                  <c:v>1.6303389427861639</c:v>
                </c:pt>
                <c:pt idx="17">
                  <c:v>1.7643928911732742</c:v>
                </c:pt>
                <c:pt idx="18">
                  <c:v>1.8692976512015511</c:v>
                </c:pt>
                <c:pt idx="19">
                  <c:v>1.8953444813187992</c:v>
                </c:pt>
                <c:pt idx="20">
                  <c:v>2.0168582692848611</c:v>
                </c:pt>
                <c:pt idx="21">
                  <c:v>2.0591671963693852</c:v>
                </c:pt>
                <c:pt idx="22">
                  <c:v>2.0619629645021909</c:v>
                </c:pt>
                <c:pt idx="23">
                  <c:v>2.1927065669206081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067C-4232-B206-06721CBD863D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128'!$M$37:$M$60</c:f>
              <c:numCache>
                <c:formatCode>0.0000</c:formatCode>
                <c:ptCount val="24"/>
                <c:pt idx="0">
                  <c:v>4.8904769710870995E-2</c:v>
                </c:pt>
                <c:pt idx="1">
                  <c:v>8.3425265509727509E-2</c:v>
                </c:pt>
                <c:pt idx="2">
                  <c:v>0.1180520673658404</c:v>
                </c:pt>
                <c:pt idx="3">
                  <c:v>0.14533802167878912</c:v>
                </c:pt>
                <c:pt idx="4">
                  <c:v>0.17163612024731473</c:v>
                </c:pt>
                <c:pt idx="5">
                  <c:v>0.19441886703061401</c:v>
                </c:pt>
                <c:pt idx="6">
                  <c:v>0.20760043884496501</c:v>
                </c:pt>
                <c:pt idx="7">
                  <c:v>0.21920912072943699</c:v>
                </c:pt>
                <c:pt idx="8">
                  <c:v>0.227157352735739</c:v>
                </c:pt>
                <c:pt idx="9">
                  <c:v>0.20552628218310803</c:v>
                </c:pt>
                <c:pt idx="10">
                  <c:v>0.185143337295058</c:v>
                </c:pt>
                <c:pt idx="11">
                  <c:v>9.8624446945558941E-2</c:v>
                </c:pt>
                <c:pt idx="12">
                  <c:v>0.10125018777417605</c:v>
                </c:pt>
                <c:pt idx="13">
                  <c:v>-2.6178709068648054E-2</c:v>
                </c:pt>
                <c:pt idx="14">
                  <c:v>-0.12312141061216508</c:v>
                </c:pt>
                <c:pt idx="15">
                  <c:v>-0.18056133038235112</c:v>
                </c:pt>
                <c:pt idx="16">
                  <c:v>-0.20851808542316097</c:v>
                </c:pt>
                <c:pt idx="17">
                  <c:v>-0.3073404153603061</c:v>
                </c:pt>
                <c:pt idx="18">
                  <c:v>-0.43071493396804794</c:v>
                </c:pt>
                <c:pt idx="19">
                  <c:v>-0.48353211646607408</c:v>
                </c:pt>
                <c:pt idx="20">
                  <c:v>-0.59620808535351699</c:v>
                </c:pt>
                <c:pt idx="21">
                  <c:v>-0.63610527211648715</c:v>
                </c:pt>
                <c:pt idx="22">
                  <c:v>-0.69426318296586986</c:v>
                </c:pt>
                <c:pt idx="23">
                  <c:v>-0.75964252534910015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067C-4232-B206-06721CBD863D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128'!$N$37:$N$60</c:f>
              <c:numCache>
                <c:formatCode>0.0000</c:formatCode>
                <c:ptCount val="24"/>
                <c:pt idx="0">
                  <c:v>6.5256255955512418E-2</c:v>
                </c:pt>
                <c:pt idx="1">
                  <c:v>0.1218824528750645</c:v>
                </c:pt>
                <c:pt idx="2">
                  <c:v>0.18850215891597161</c:v>
                </c:pt>
                <c:pt idx="3">
                  <c:v>0.2487203410275089</c:v>
                </c:pt>
                <c:pt idx="4">
                  <c:v>0.32482804543504329</c:v>
                </c:pt>
                <c:pt idx="5">
                  <c:v>0.40188475514799799</c:v>
                </c:pt>
                <c:pt idx="6">
                  <c:v>0.49491801302810301</c:v>
                </c:pt>
                <c:pt idx="7">
                  <c:v>0.58977251694903499</c:v>
                </c:pt>
                <c:pt idx="8">
                  <c:v>0.689873476189651</c:v>
                </c:pt>
                <c:pt idx="9">
                  <c:v>0.81824490569989794</c:v>
                </c:pt>
                <c:pt idx="10">
                  <c:v>0.94411505787071004</c:v>
                </c:pt>
                <c:pt idx="11">
                  <c:v>1.1770582368464471</c:v>
                </c:pt>
                <c:pt idx="12">
                  <c:v>1.1988294258046079</c:v>
                </c:pt>
                <c:pt idx="13">
                  <c:v>1.477048315168578</c:v>
                </c:pt>
                <c:pt idx="14">
                  <c:v>1.6683313653728371</c:v>
                </c:pt>
                <c:pt idx="15">
                  <c:v>1.820121782969689</c:v>
                </c:pt>
                <c:pt idx="16">
                  <c:v>1.901901378784139</c:v>
                </c:pt>
                <c:pt idx="17">
                  <c:v>2.085472635904674</c:v>
                </c:pt>
                <c:pt idx="18">
                  <c:v>2.2851247750197521</c:v>
                </c:pt>
                <c:pt idx="19">
                  <c:v>2.3932967663325662</c:v>
                </c:pt>
                <c:pt idx="20">
                  <c:v>2.567595121200823</c:v>
                </c:pt>
                <c:pt idx="21">
                  <c:v>2.628615404635593</c:v>
                </c:pt>
                <c:pt idx="22">
                  <c:v>2.75460064271945</c:v>
                </c:pt>
                <c:pt idx="23">
                  <c:v>2.86825848085748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067C-4232-B206-06721CBD863D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128'!$O$37:$O$60</c:f>
              <c:numCache>
                <c:formatCode>0.0000</c:formatCode>
                <c:ptCount val="24"/>
                <c:pt idx="0">
                  <c:v>3.6989295059284208E-2</c:v>
                </c:pt>
                <c:pt idx="1">
                  <c:v>7.8806070385738003E-2</c:v>
                </c:pt>
                <c:pt idx="2">
                  <c:v>0.11375408411813731</c:v>
                </c:pt>
                <c:pt idx="3">
                  <c:v>0.1384559371549178</c:v>
                </c:pt>
                <c:pt idx="4">
                  <c:v>0.1627638093170683</c:v>
                </c:pt>
                <c:pt idx="5">
                  <c:v>0.18195646203628602</c:v>
                </c:pt>
                <c:pt idx="6">
                  <c:v>0.18843052957598702</c:v>
                </c:pt>
                <c:pt idx="7">
                  <c:v>0.21706674119341499</c:v>
                </c:pt>
                <c:pt idx="8">
                  <c:v>0.244278683092546</c:v>
                </c:pt>
                <c:pt idx="9">
                  <c:v>0.26189855876764001</c:v>
                </c:pt>
                <c:pt idx="10">
                  <c:v>0.29482757315097297</c:v>
                </c:pt>
                <c:pt idx="11">
                  <c:v>0.32357033828283294</c:v>
                </c:pt>
                <c:pt idx="12">
                  <c:v>0.338444757500178</c:v>
                </c:pt>
                <c:pt idx="13">
                  <c:v>0.37921903651168998</c:v>
                </c:pt>
                <c:pt idx="14">
                  <c:v>0.41223157457485093</c:v>
                </c:pt>
                <c:pt idx="15">
                  <c:v>0.45955910797098798</c:v>
                </c:pt>
                <c:pt idx="16">
                  <c:v>0.48697862827973204</c:v>
                </c:pt>
                <c:pt idx="17">
                  <c:v>0.52263477182915297</c:v>
                </c:pt>
                <c:pt idx="18">
                  <c:v>0.55530343979292196</c:v>
                </c:pt>
                <c:pt idx="19">
                  <c:v>0.58714315572433207</c:v>
                </c:pt>
                <c:pt idx="20">
                  <c:v>0.61395024218757199</c:v>
                </c:pt>
                <c:pt idx="21">
                  <c:v>0.62182476191915503</c:v>
                </c:pt>
                <c:pt idx="22">
                  <c:v>0.66352751042596902</c:v>
                </c:pt>
                <c:pt idx="23">
                  <c:v>0.69669678048127592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067C-4232-B206-06721CBD863D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128'!$A$37:$A$60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0.62089027737336899</c:v>
                </c:pt>
                <c:pt idx="15">
                  <c:v>0.66228296253159302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0.78646101800628498</c:v>
                </c:pt>
                <c:pt idx="19">
                  <c:v>0.82785370316449303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0.95203175863915501</c:v>
                </c:pt>
                <c:pt idx="23">
                  <c:v>0.99342444379738704</c:v>
                </c:pt>
              </c:numCache>
            </c:numRef>
          </c:xVal>
          <c:yVal>
            <c:numRef>
              <c:f>'means 128'!$P$37:$P$60</c:f>
              <c:numCache>
                <c:formatCode>0.0000</c:formatCode>
                <c:ptCount val="24"/>
                <c:pt idx="0">
                  <c:v>7.7171730607099198E-2</c:v>
                </c:pt>
                <c:pt idx="1">
                  <c:v>0.126501647999054</c:v>
                </c:pt>
                <c:pt idx="2">
                  <c:v>0.19280014216367469</c:v>
                </c:pt>
                <c:pt idx="3">
                  <c:v>0.25560242555138019</c:v>
                </c:pt>
                <c:pt idx="4">
                  <c:v>0.33370035636528972</c:v>
                </c:pt>
                <c:pt idx="5">
                  <c:v>0.41434716014232598</c:v>
                </c:pt>
                <c:pt idx="6">
                  <c:v>0.514087922297081</c:v>
                </c:pt>
                <c:pt idx="7">
                  <c:v>0.59191489648505702</c:v>
                </c:pt>
                <c:pt idx="8">
                  <c:v>0.67275214583284404</c:v>
                </c:pt>
                <c:pt idx="9">
                  <c:v>0.76187262911536602</c:v>
                </c:pt>
                <c:pt idx="10">
                  <c:v>0.83443082201479502</c:v>
                </c:pt>
                <c:pt idx="11">
                  <c:v>0.9521123455091729</c:v>
                </c:pt>
                <c:pt idx="12">
                  <c:v>0.96163485607860599</c:v>
                </c:pt>
                <c:pt idx="13">
                  <c:v>1.0716505695882401</c:v>
                </c:pt>
                <c:pt idx="14">
                  <c:v>1.1329783801858211</c:v>
                </c:pt>
                <c:pt idx="15">
                  <c:v>1.18000134461635</c:v>
                </c:pt>
                <c:pt idx="16">
                  <c:v>1.2064046650812461</c:v>
                </c:pt>
                <c:pt idx="17">
                  <c:v>1.2554974487152148</c:v>
                </c:pt>
                <c:pt idx="18">
                  <c:v>1.2991064012587821</c:v>
                </c:pt>
                <c:pt idx="19">
                  <c:v>1.3226214941421599</c:v>
                </c:pt>
                <c:pt idx="20">
                  <c:v>1.357436793659734</c:v>
                </c:pt>
                <c:pt idx="21">
                  <c:v>1.3706853705999509</c:v>
                </c:pt>
                <c:pt idx="22">
                  <c:v>1.3968099493276112</c:v>
                </c:pt>
                <c:pt idx="23">
                  <c:v>1.4119191750271041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067C-4232-B206-06721CBD86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98048"/>
        <c:axId val="186099968"/>
      </c:scatterChart>
      <c:valAx>
        <c:axId val="186098048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9968"/>
        <c:crosses val="autoZero"/>
        <c:crossBetween val="midCat"/>
        <c:minorUnit val="0.1"/>
      </c:valAx>
      <c:valAx>
        <c:axId val="186099968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98048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256'!$L$37:$L$59</c:f>
              <c:numCache>
                <c:formatCode>0.0000</c:formatCode>
                <c:ptCount val="23"/>
                <c:pt idx="0">
                  <c:v>6.8877428103286106E-2</c:v>
                </c:pt>
                <c:pt idx="1">
                  <c:v>0.109773401039611</c:v>
                </c:pt>
                <c:pt idx="2">
                  <c:v>0.15439471564017901</c:v>
                </c:pt>
                <c:pt idx="3">
                  <c:v>0.200081749059104</c:v>
                </c:pt>
                <c:pt idx="4">
                  <c:v>0.245705265205657</c:v>
                </c:pt>
                <c:pt idx="5">
                  <c:v>0.292113528476657</c:v>
                </c:pt>
                <c:pt idx="6">
                  <c:v>0.34271026928685699</c:v>
                </c:pt>
                <c:pt idx="7">
                  <c:v>0.39341010246297298</c:v>
                </c:pt>
                <c:pt idx="8">
                  <c:v>0.44130304938655102</c:v>
                </c:pt>
                <c:pt idx="9">
                  <c:v>0.49520474814834903</c:v>
                </c:pt>
                <c:pt idx="10">
                  <c:v>0.53071355056342695</c:v>
                </c:pt>
                <c:pt idx="11">
                  <c:v>0.59529934179212696</c:v>
                </c:pt>
                <c:pt idx="12">
                  <c:v>0.65359462783240296</c:v>
                </c:pt>
                <c:pt idx="13">
                  <c:v>0.70020803159204803</c:v>
                </c:pt>
                <c:pt idx="14">
                  <c:v>0.73709077214687801</c:v>
                </c:pt>
                <c:pt idx="15">
                  <c:v>0.79879116925252902</c:v>
                </c:pt>
                <c:pt idx="16">
                  <c:v>0.85006819083513796</c:v>
                </c:pt>
                <c:pt idx="17">
                  <c:v>0.89233170513827098</c:v>
                </c:pt>
                <c:pt idx="18">
                  <c:v>0.91579703464074602</c:v>
                </c:pt>
                <c:pt idx="19">
                  <c:v>0.96482465362322301</c:v>
                </c:pt>
                <c:pt idx="20">
                  <c:v>1.0042566818939</c:v>
                </c:pt>
                <c:pt idx="21">
                  <c:v>1.0238276780534501</c:v>
                </c:pt>
                <c:pt idx="22">
                  <c:v>1.06780295868138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8A8-4EED-97FC-E69C09873DE6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256'!$J$37:$J$60</c:f>
              <c:numCache>
                <c:formatCode>0.0000</c:formatCode>
                <c:ptCount val="24"/>
                <c:pt idx="0">
                  <c:v>5.159884444898577E-2</c:v>
                </c:pt>
                <c:pt idx="1">
                  <c:v>9.02874268650391E-2</c:v>
                </c:pt>
                <c:pt idx="2">
                  <c:v>0.12552231605979672</c:v>
                </c:pt>
                <c:pt idx="3">
                  <c:v>0.15906380581030241</c:v>
                </c:pt>
                <c:pt idx="4">
                  <c:v>0.19034911902696031</c:v>
                </c:pt>
                <c:pt idx="5">
                  <c:v>0.2248254148888528</c:v>
                </c:pt>
                <c:pt idx="6">
                  <c:v>0.24861639642999472</c:v>
                </c:pt>
                <c:pt idx="7">
                  <c:v>0.28443367474262404</c:v>
                </c:pt>
                <c:pt idx="8">
                  <c:v>0.30631655781112199</c:v>
                </c:pt>
                <c:pt idx="9">
                  <c:v>0.30868286909265197</c:v>
                </c:pt>
                <c:pt idx="10">
                  <c:v>0.28753739751949298</c:v>
                </c:pt>
                <c:pt idx="11">
                  <c:v>0.37255639956689401</c:v>
                </c:pt>
                <c:pt idx="12">
                  <c:v>0.39264509803571906</c:v>
                </c:pt>
                <c:pt idx="13">
                  <c:v>0.37242359067116998</c:v>
                </c:pt>
                <c:pt idx="14">
                  <c:v>0.37121569539910704</c:v>
                </c:pt>
                <c:pt idx="15">
                  <c:v>0.39608899056406605</c:v>
                </c:pt>
                <c:pt idx="16">
                  <c:v>0.47206246204401098</c:v>
                </c:pt>
                <c:pt idx="17">
                  <c:v>0.4472288326207059</c:v>
                </c:pt>
                <c:pt idx="18">
                  <c:v>0.35182275647177297</c:v>
                </c:pt>
                <c:pt idx="19">
                  <c:v>0.430473387376897</c:v>
                </c:pt>
                <c:pt idx="20">
                  <c:v>0.40263182913017503</c:v>
                </c:pt>
                <c:pt idx="21">
                  <c:v>0.46645290447339505</c:v>
                </c:pt>
                <c:pt idx="22">
                  <c:v>0.45635173264665596</c:v>
                </c:pt>
                <c:pt idx="23">
                  <c:v>0.45073823913314992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8A8-4EED-97FC-E69C09873DE6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98A8-4EED-97FC-E69C09873DE6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256'!$B$37:$B$60</c:f>
              <c:numCache>
                <c:formatCode>0.0000</c:formatCode>
                <c:ptCount val="24"/>
                <c:pt idx="0">
                  <c:v>5.8457258235694198E-2</c:v>
                </c:pt>
                <c:pt idx="1">
                  <c:v>0.105317368861625</c:v>
                </c:pt>
                <c:pt idx="2">
                  <c:v>0.15417573588195699</c:v>
                </c:pt>
                <c:pt idx="3">
                  <c:v>0.20401756209143501</c:v>
                </c:pt>
                <c:pt idx="4">
                  <c:v>0.25796307676810498</c:v>
                </c:pt>
                <c:pt idx="5">
                  <c:v>0.31225507994430202</c:v>
                </c:pt>
                <c:pt idx="6">
                  <c:v>0.37006751503499902</c:v>
                </c:pt>
                <c:pt idx="7">
                  <c:v>0.42950303926394001</c:v>
                </c:pt>
                <c:pt idx="8">
                  <c:v>0.47739662440674902</c:v>
                </c:pt>
                <c:pt idx="9">
                  <c:v>0.52767620592101705</c:v>
                </c:pt>
                <c:pt idx="10">
                  <c:v>0.55855145309999199</c:v>
                </c:pt>
                <c:pt idx="11">
                  <c:v>0.61492408705260804</c:v>
                </c:pt>
                <c:pt idx="12">
                  <c:v>0.65101766791879401</c:v>
                </c:pt>
                <c:pt idx="13">
                  <c:v>0.68210990301806196</c:v>
                </c:pt>
                <c:pt idx="14">
                  <c:v>0.70901860850228804</c:v>
                </c:pt>
                <c:pt idx="15">
                  <c:v>0.73295824689969202</c:v>
                </c:pt>
                <c:pt idx="16">
                  <c:v>0.76356525208330595</c:v>
                </c:pt>
                <c:pt idx="17">
                  <c:v>0.77233541093678404</c:v>
                </c:pt>
                <c:pt idx="18">
                  <c:v>0.77827988675578097</c:v>
                </c:pt>
                <c:pt idx="19">
                  <c:v>0.78966325526627401</c:v>
                </c:pt>
                <c:pt idx="20">
                  <c:v>0.85609990623905796</c:v>
                </c:pt>
                <c:pt idx="21">
                  <c:v>0.86848661351393397</c:v>
                </c:pt>
                <c:pt idx="22">
                  <c:v>0.89964629456896394</c:v>
                </c:pt>
                <c:pt idx="23">
                  <c:v>0.89461190481729902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98A8-4EED-97FC-E69C09873DE6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256'!$C$37:$C$60</c:f>
              <c:numCache>
                <c:formatCode>0.0000</c:formatCode>
                <c:ptCount val="24"/>
                <c:pt idx="0">
                  <c:v>5.8456265676509078E-2</c:v>
                </c:pt>
                <c:pt idx="1">
                  <c:v>0.10531187091418383</c:v>
                </c:pt>
                <c:pt idx="2">
                  <c:v>0.15414757315086491</c:v>
                </c:pt>
                <c:pt idx="3">
                  <c:v>0.20381254820605021</c:v>
                </c:pt>
                <c:pt idx="4">
                  <c:v>0.25554537898575286</c:v>
                </c:pt>
                <c:pt idx="5">
                  <c:v>0.29989479319845369</c:v>
                </c:pt>
                <c:pt idx="6">
                  <c:v>0.3292063799458646</c:v>
                </c:pt>
                <c:pt idx="7">
                  <c:v>0.3444164773134662</c:v>
                </c:pt>
                <c:pt idx="8">
                  <c:v>0.326701462877445</c:v>
                </c:pt>
                <c:pt idx="9">
                  <c:v>0.30966317956502909</c:v>
                </c:pt>
                <c:pt idx="10">
                  <c:v>0.23740244138286898</c:v>
                </c:pt>
                <c:pt idx="11">
                  <c:v>0.18836614170403104</c:v>
                </c:pt>
                <c:pt idx="12">
                  <c:v>0.11633226560161403</c:v>
                </c:pt>
                <c:pt idx="13">
                  <c:v>-8.8193151015003024E-2</c:v>
                </c:pt>
                <c:pt idx="14">
                  <c:v>-0.226102722076997</c:v>
                </c:pt>
                <c:pt idx="15">
                  <c:v>-0.30817922663271791</c:v>
                </c:pt>
                <c:pt idx="16">
                  <c:v>-0.43688397707673399</c:v>
                </c:pt>
                <c:pt idx="17">
                  <c:v>-0.48828849286919607</c:v>
                </c:pt>
                <c:pt idx="18">
                  <c:v>-0.72778326671676896</c:v>
                </c:pt>
                <c:pt idx="19">
                  <c:v>-0.8406020443805361</c:v>
                </c:pt>
                <c:pt idx="20">
                  <c:v>-1.3323176179030622</c:v>
                </c:pt>
                <c:pt idx="21">
                  <c:v>-1.1403779676375259</c:v>
                </c:pt>
                <c:pt idx="22">
                  <c:v>-1.4173936047311559</c:v>
                </c:pt>
                <c:pt idx="23">
                  <c:v>-1.4495922386920408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98A8-4EED-97FC-E69C09873DE6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256'!$D$37:$D$60</c:f>
              <c:numCache>
                <c:formatCode>0.0000</c:formatCode>
                <c:ptCount val="24"/>
                <c:pt idx="0">
                  <c:v>5.8458250794879318E-2</c:v>
                </c:pt>
                <c:pt idx="1">
                  <c:v>0.10532286680906618</c:v>
                </c:pt>
                <c:pt idx="2">
                  <c:v>0.15420389861304906</c:v>
                </c:pt>
                <c:pt idx="3">
                  <c:v>0.20422257597681981</c:v>
                </c:pt>
                <c:pt idx="4">
                  <c:v>0.26038077455045711</c:v>
                </c:pt>
                <c:pt idx="5">
                  <c:v>0.32461536669015034</c:v>
                </c:pt>
                <c:pt idx="6">
                  <c:v>0.41092865012413343</c:v>
                </c:pt>
                <c:pt idx="7">
                  <c:v>0.51458960121441377</c:v>
                </c:pt>
                <c:pt idx="8">
                  <c:v>0.62809178593605308</c:v>
                </c:pt>
                <c:pt idx="9">
                  <c:v>0.74568923227700501</c:v>
                </c:pt>
                <c:pt idx="10">
                  <c:v>0.87970046481711495</c:v>
                </c:pt>
                <c:pt idx="11">
                  <c:v>1.0414820324011851</c:v>
                </c:pt>
                <c:pt idx="12">
                  <c:v>1.1857030702359741</c:v>
                </c:pt>
                <c:pt idx="13">
                  <c:v>1.4524129570511271</c:v>
                </c:pt>
                <c:pt idx="14">
                  <c:v>1.644139939081573</c:v>
                </c:pt>
                <c:pt idx="15">
                  <c:v>1.774095720432102</c:v>
                </c:pt>
                <c:pt idx="16">
                  <c:v>1.9640144812433458</c:v>
                </c:pt>
                <c:pt idx="17">
                  <c:v>2.0329593147427643</c:v>
                </c:pt>
                <c:pt idx="18">
                  <c:v>2.2843430402283307</c:v>
                </c:pt>
                <c:pt idx="19">
                  <c:v>2.419928554913084</c:v>
                </c:pt>
                <c:pt idx="20">
                  <c:v>3.0445174303811782</c:v>
                </c:pt>
                <c:pt idx="21">
                  <c:v>2.877351194665394</c:v>
                </c:pt>
                <c:pt idx="22">
                  <c:v>3.2166861938690841</c:v>
                </c:pt>
                <c:pt idx="23">
                  <c:v>3.2388160483266391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98A8-4EED-97FC-E69C09873DE6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256'!$E$37:$E$60</c:f>
              <c:numCache>
                <c:formatCode>0.0000</c:formatCode>
                <c:ptCount val="24"/>
                <c:pt idx="0">
                  <c:v>5.1557391089134298E-2</c:v>
                </c:pt>
                <c:pt idx="1">
                  <c:v>9.0109956383240208E-2</c:v>
                </c:pt>
                <c:pt idx="2">
                  <c:v>0.12313291338666839</c:v>
                </c:pt>
                <c:pt idx="3">
                  <c:v>0.15330079818986281</c:v>
                </c:pt>
                <c:pt idx="4">
                  <c:v>0.18777846905032997</c:v>
                </c:pt>
                <c:pt idx="5">
                  <c:v>0.2194573521939806</c:v>
                </c:pt>
                <c:pt idx="6">
                  <c:v>0.24367862170093402</c:v>
                </c:pt>
                <c:pt idx="7">
                  <c:v>0.28781300219448303</c:v>
                </c:pt>
                <c:pt idx="8">
                  <c:v>0.31034953645523999</c:v>
                </c:pt>
                <c:pt idx="9">
                  <c:v>0.34850017598557803</c:v>
                </c:pt>
                <c:pt idx="10">
                  <c:v>0.37335845069958495</c:v>
                </c:pt>
                <c:pt idx="11">
                  <c:v>0.41828326498104806</c:v>
                </c:pt>
                <c:pt idx="12">
                  <c:v>0.446572984333239</c:v>
                </c:pt>
                <c:pt idx="13">
                  <c:v>0.47306303006065697</c:v>
                </c:pt>
                <c:pt idx="14">
                  <c:v>0.49454666396753505</c:v>
                </c:pt>
                <c:pt idx="15">
                  <c:v>0.51628207293736905</c:v>
                </c:pt>
                <c:pt idx="16">
                  <c:v>0.54350668347004394</c:v>
                </c:pt>
                <c:pt idx="17">
                  <c:v>0.56919600209005905</c:v>
                </c:pt>
                <c:pt idx="18">
                  <c:v>0.55939750689190704</c:v>
                </c:pt>
                <c:pt idx="19">
                  <c:v>0.55116282733648303</c:v>
                </c:pt>
                <c:pt idx="20">
                  <c:v>0.61280833952861902</c:v>
                </c:pt>
                <c:pt idx="21">
                  <c:v>0.65214298287373296</c:v>
                </c:pt>
                <c:pt idx="22">
                  <c:v>0.707788266827589</c:v>
                </c:pt>
                <c:pt idx="23">
                  <c:v>0.71436329537657706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98A8-4EED-97FC-E69C09873DE6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256'!$F$37:$F$60</c:f>
              <c:numCache>
                <c:formatCode>0.0000</c:formatCode>
                <c:ptCount val="24"/>
                <c:pt idx="0">
                  <c:v>6.5357125382254105E-2</c:v>
                </c:pt>
                <c:pt idx="1">
                  <c:v>0.1205247813400098</c:v>
                </c:pt>
                <c:pt idx="2">
                  <c:v>0.1852185583772456</c:v>
                </c:pt>
                <c:pt idx="3">
                  <c:v>0.25473432599300722</c:v>
                </c:pt>
                <c:pt idx="4">
                  <c:v>0.32814768448588</c:v>
                </c:pt>
                <c:pt idx="5">
                  <c:v>0.40505280769462343</c:v>
                </c:pt>
                <c:pt idx="6">
                  <c:v>0.49645640836906402</c:v>
                </c:pt>
                <c:pt idx="7">
                  <c:v>0.571193076333397</c:v>
                </c:pt>
                <c:pt idx="8">
                  <c:v>0.64444371235825804</c:v>
                </c:pt>
                <c:pt idx="9">
                  <c:v>0.70685223585645607</c:v>
                </c:pt>
                <c:pt idx="10">
                  <c:v>0.74374445550039903</c:v>
                </c:pt>
                <c:pt idx="11">
                  <c:v>0.81156490912416801</c:v>
                </c:pt>
                <c:pt idx="12">
                  <c:v>0.85546235150434902</c:v>
                </c:pt>
                <c:pt idx="13">
                  <c:v>0.89115677597546694</c:v>
                </c:pt>
                <c:pt idx="14">
                  <c:v>0.92349055303704097</c:v>
                </c:pt>
                <c:pt idx="15">
                  <c:v>0.94963442086201499</c:v>
                </c:pt>
                <c:pt idx="16">
                  <c:v>0.98362382069656795</c:v>
                </c:pt>
                <c:pt idx="17">
                  <c:v>0.97547481978350903</c:v>
                </c:pt>
                <c:pt idx="18">
                  <c:v>0.9971622666196549</c:v>
                </c:pt>
                <c:pt idx="19">
                  <c:v>1.028163683196065</c:v>
                </c:pt>
                <c:pt idx="20">
                  <c:v>1.0993914729494969</c:v>
                </c:pt>
                <c:pt idx="21">
                  <c:v>1.0848302441541349</c:v>
                </c:pt>
                <c:pt idx="22">
                  <c:v>1.0915043223103389</c:v>
                </c:pt>
                <c:pt idx="23">
                  <c:v>1.074860514258021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98A8-4EED-97FC-E69C09873DE6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256'!$G$37:$G$60</c:f>
              <c:numCache>
                <c:formatCode>0.0000</c:formatCode>
                <c:ptCount val="24"/>
                <c:pt idx="0">
                  <c:v>5.8455195749303197E-2</c:v>
                </c:pt>
                <c:pt idx="1">
                  <c:v>0.105232194269807</c:v>
                </c:pt>
                <c:pt idx="2">
                  <c:v>0.15265626080890901</c:v>
                </c:pt>
                <c:pt idx="3">
                  <c:v>0.19856630903797501</c:v>
                </c:pt>
                <c:pt idx="4">
                  <c:v>0.24689513269633101</c:v>
                </c:pt>
                <c:pt idx="5">
                  <c:v>0.295035432384056</c:v>
                </c:pt>
                <c:pt idx="6">
                  <c:v>0.34520964103776303</c:v>
                </c:pt>
                <c:pt idx="7">
                  <c:v>0.39678742007832402</c:v>
                </c:pt>
                <c:pt idx="8">
                  <c:v>0.44533521281233002</c:v>
                </c:pt>
                <c:pt idx="9">
                  <c:v>0.50251078738570698</c:v>
                </c:pt>
                <c:pt idx="10">
                  <c:v>0.54081386947027199</c:v>
                </c:pt>
                <c:pt idx="11">
                  <c:v>0.60488980835176298</c:v>
                </c:pt>
                <c:pt idx="12">
                  <c:v>0.66605404514021305</c:v>
                </c:pt>
                <c:pt idx="13">
                  <c:v>0.72355832282682397</c:v>
                </c:pt>
                <c:pt idx="14">
                  <c:v>0.76489761316183702</c:v>
                </c:pt>
                <c:pt idx="15">
                  <c:v>0.84368751452652102</c:v>
                </c:pt>
                <c:pt idx="16">
                  <c:v>0.89253200971754199</c:v>
                </c:pt>
                <c:pt idx="17">
                  <c:v>0.96022124079525395</c:v>
                </c:pt>
                <c:pt idx="18">
                  <c:v>1.0287812458090499</c:v>
                </c:pt>
                <c:pt idx="19">
                  <c:v>1.09624600574013</c:v>
                </c:pt>
                <c:pt idx="20">
                  <c:v>1.1677072505106501</c:v>
                </c:pt>
                <c:pt idx="21">
                  <c:v>1.1923709998494001</c:v>
                </c:pt>
                <c:pt idx="22">
                  <c:v>1.2931276137876699</c:v>
                </c:pt>
                <c:pt idx="23">
                  <c:v>1.3861838786543299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98A8-4EED-97FC-E69C09873DE6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256'!$H$37:$H$59</c:f>
              <c:numCache>
                <c:formatCode>0.0000</c:formatCode>
                <c:ptCount val="23"/>
                <c:pt idx="0">
                  <c:v>5.270448834714956E-2</c:v>
                </c:pt>
                <c:pt idx="1">
                  <c:v>9.1309501123019901E-2</c:v>
                </c:pt>
                <c:pt idx="2">
                  <c:v>0.12823230185141782</c:v>
                </c:pt>
                <c:pt idx="3">
                  <c:v>0.1622273438096988</c:v>
                </c:pt>
                <c:pt idx="4">
                  <c:v>0.1962912642457722</c:v>
                </c:pt>
                <c:pt idx="5">
                  <c:v>0.22882463556747878</c:v>
                </c:pt>
                <c:pt idx="6">
                  <c:v>0.26080264859334162</c:v>
                </c:pt>
                <c:pt idx="7">
                  <c:v>0.29271452844035301</c:v>
                </c:pt>
                <c:pt idx="8">
                  <c:v>0.32087717578844799</c:v>
                </c:pt>
                <c:pt idx="9">
                  <c:v>0.35128209908944197</c:v>
                </c:pt>
                <c:pt idx="10">
                  <c:v>0.36993991771894796</c:v>
                </c:pt>
                <c:pt idx="11">
                  <c:v>0.40496812625907497</c:v>
                </c:pt>
                <c:pt idx="12">
                  <c:v>0.43362709177905601</c:v>
                </c:pt>
                <c:pt idx="13">
                  <c:v>0.45620167690267399</c:v>
                </c:pt>
                <c:pt idx="14">
                  <c:v>0.472502841056328</c:v>
                </c:pt>
                <c:pt idx="15">
                  <c:v>0.502610087569616</c:v>
                </c:pt>
                <c:pt idx="16">
                  <c:v>0.52622670515360803</c:v>
                </c:pt>
                <c:pt idx="17">
                  <c:v>0.54528284500507895</c:v>
                </c:pt>
                <c:pt idx="18">
                  <c:v>0.5521186473305959</c:v>
                </c:pt>
                <c:pt idx="19">
                  <c:v>0.57778166424366095</c:v>
                </c:pt>
                <c:pt idx="20">
                  <c:v>0.59012679053317307</c:v>
                </c:pt>
                <c:pt idx="21">
                  <c:v>0.60374122405098407</c:v>
                </c:pt>
                <c:pt idx="22">
                  <c:v>0.62022793489925099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98A8-4EED-97FC-E69C09873DE6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98A8-4EED-97FC-E69C09873DE6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256'!$I$37:$I$60</c:f>
              <c:numCache>
                <c:formatCode>0.0000</c:formatCode>
                <c:ptCount val="24"/>
                <c:pt idx="0">
                  <c:v>6.4205903151456842E-2</c:v>
                </c:pt>
                <c:pt idx="1">
                  <c:v>0.11915488741659409</c:v>
                </c:pt>
                <c:pt idx="2">
                  <c:v>0.1770802197664002</c:v>
                </c:pt>
                <c:pt idx="3">
                  <c:v>0.23490527426625121</c:v>
                </c:pt>
                <c:pt idx="4">
                  <c:v>0.29749900114688982</c:v>
                </c:pt>
                <c:pt idx="5">
                  <c:v>0.36124622920063321</c:v>
                </c:pt>
                <c:pt idx="6">
                  <c:v>0.42961663348218443</c:v>
                </c:pt>
                <c:pt idx="7">
                  <c:v>0.50086031171629497</c:v>
                </c:pt>
                <c:pt idx="8">
                  <c:v>0.56979324983621205</c:v>
                </c:pt>
                <c:pt idx="9">
                  <c:v>0.65373947568197199</c:v>
                </c:pt>
                <c:pt idx="10">
                  <c:v>0.71168782122159602</c:v>
                </c:pt>
                <c:pt idx="11">
                  <c:v>0.80481149044445099</c:v>
                </c:pt>
                <c:pt idx="12">
                  <c:v>0.89848099850137009</c:v>
                </c:pt>
                <c:pt idx="13">
                  <c:v>0.99091496875097396</c:v>
                </c:pt>
                <c:pt idx="14">
                  <c:v>1.0572923852673459</c:v>
                </c:pt>
                <c:pt idx="15">
                  <c:v>1.184764941483426</c:v>
                </c:pt>
                <c:pt idx="16">
                  <c:v>1.2588373142814759</c:v>
                </c:pt>
                <c:pt idx="17">
                  <c:v>1.3751596365854288</c:v>
                </c:pt>
                <c:pt idx="18">
                  <c:v>1.505443844287504</c:v>
                </c:pt>
                <c:pt idx="19">
                  <c:v>1.6147103472365991</c:v>
                </c:pt>
                <c:pt idx="20">
                  <c:v>1.745287710488127</c:v>
                </c:pt>
                <c:pt idx="21">
                  <c:v>1.7810007756478161</c:v>
                </c:pt>
                <c:pt idx="22">
                  <c:v>1.9660272926760889</c:v>
                </c:pt>
                <c:pt idx="23">
                  <c:v>2.1401006209735787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98A8-4EED-97FC-E69C09873DE6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256'!$K$37:$K$60</c:f>
              <c:numCache>
                <c:formatCode>0.0000</c:formatCode>
                <c:ptCount val="24"/>
                <c:pt idx="0">
                  <c:v>6.5311547049620625E-2</c:v>
                </c:pt>
                <c:pt idx="1">
                  <c:v>0.12017696167457489</c:v>
                </c:pt>
                <c:pt idx="2">
                  <c:v>0.1797902055580213</c:v>
                </c:pt>
                <c:pt idx="3">
                  <c:v>0.23806881226564761</c:v>
                </c:pt>
                <c:pt idx="4">
                  <c:v>0.30344114636570169</c:v>
                </c:pt>
                <c:pt idx="5">
                  <c:v>0.36524544987925922</c:v>
                </c:pt>
                <c:pt idx="6">
                  <c:v>0.44180288564553133</c:v>
                </c:pt>
                <c:pt idx="7">
                  <c:v>0.50914116541402399</c:v>
                </c:pt>
                <c:pt idx="8">
                  <c:v>0.58435386781353804</c:v>
                </c:pt>
                <c:pt idx="9">
                  <c:v>0.69633870567876199</c:v>
                </c:pt>
                <c:pt idx="10">
                  <c:v>0.79409034142105095</c:v>
                </c:pt>
                <c:pt idx="11">
                  <c:v>0.83722321713663195</c:v>
                </c:pt>
                <c:pt idx="12">
                  <c:v>0.93946299224470708</c:v>
                </c:pt>
                <c:pt idx="13">
                  <c:v>1.074693054982478</c:v>
                </c:pt>
                <c:pt idx="14">
                  <c:v>1.158579530924567</c:v>
                </c:pt>
                <c:pt idx="15">
                  <c:v>1.2912860384889759</c:v>
                </c:pt>
                <c:pt idx="16">
                  <c:v>1.3130015573910729</c:v>
                </c:pt>
                <c:pt idx="17">
                  <c:v>1.473213648969802</c:v>
                </c:pt>
                <c:pt idx="18">
                  <c:v>1.7057397351463268</c:v>
                </c:pt>
                <c:pt idx="19">
                  <c:v>1.7620186241033631</c:v>
                </c:pt>
                <c:pt idx="20">
                  <c:v>1.932782671891125</c:v>
                </c:pt>
                <c:pt idx="21">
                  <c:v>1.918289095225405</c:v>
                </c:pt>
                <c:pt idx="22">
                  <c:v>2.1299034949286839</c:v>
                </c:pt>
                <c:pt idx="23">
                  <c:v>2.3216295181755098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98A8-4EED-97FC-E69C09873DE6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256'!$M$37:$M$60</c:f>
              <c:numCache>
                <c:formatCode>0.0000</c:formatCode>
                <c:ptCount val="24"/>
                <c:pt idx="0">
                  <c:v>6.133061192624574E-2</c:v>
                </c:pt>
                <c:pt idx="1">
                  <c:v>9.4842517736439397E-2</c:v>
                </c:pt>
                <c:pt idx="2">
                  <c:v>0.12950099562890782</c:v>
                </c:pt>
                <c:pt idx="3">
                  <c:v>0.1633626423927424</c:v>
                </c:pt>
                <c:pt idx="4">
                  <c:v>0.1954877066341765</c:v>
                </c:pt>
                <c:pt idx="5">
                  <c:v>0.2269294219079627</c:v>
                </c:pt>
                <c:pt idx="6">
                  <c:v>0.25918411710357248</c:v>
                </c:pt>
                <c:pt idx="7">
                  <c:v>0.29035909669455195</c:v>
                </c:pt>
                <c:pt idx="8">
                  <c:v>0.31615894822706403</c:v>
                </c:pt>
                <c:pt idx="9">
                  <c:v>0.34535135467953704</c:v>
                </c:pt>
                <c:pt idx="10">
                  <c:v>0.36637837207959295</c:v>
                </c:pt>
                <c:pt idx="11">
                  <c:v>0.39963632676810595</c:v>
                </c:pt>
                <c:pt idx="12">
                  <c:v>0.42971171521044893</c:v>
                </c:pt>
                <c:pt idx="13">
                  <c:v>0.44957402721176304</c:v>
                </c:pt>
                <c:pt idx="14">
                  <c:v>0.47677572554318004</c:v>
                </c:pt>
                <c:pt idx="15">
                  <c:v>0.51328791142838104</c:v>
                </c:pt>
                <c:pt idx="16">
                  <c:v>0.54415914080299399</c:v>
                </c:pt>
                <c:pt idx="17">
                  <c:v>0.57202938946386306</c:v>
                </c:pt>
                <c:pt idx="18">
                  <c:v>0.584538605243763</c:v>
                </c:pt>
                <c:pt idx="19">
                  <c:v>0.62310594393391594</c:v>
                </c:pt>
                <c:pt idx="20">
                  <c:v>0.64817591700719612</c:v>
                </c:pt>
                <c:pt idx="21">
                  <c:v>0.66626288685757307</c:v>
                </c:pt>
                <c:pt idx="22">
                  <c:v>0.68643270191278694</c:v>
                </c:pt>
                <c:pt idx="23">
                  <c:v>0.7274680067039081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98A8-4EED-97FC-E69C09873DE6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256'!$N$37:$N$60</c:f>
              <c:numCache>
                <c:formatCode>0.0000</c:formatCode>
                <c:ptCount val="24"/>
                <c:pt idx="0">
                  <c:v>7.6424244280326473E-2</c:v>
                </c:pt>
                <c:pt idx="1">
                  <c:v>0.12470428434278261</c:v>
                </c:pt>
                <c:pt idx="2">
                  <c:v>0.1792884356514502</c:v>
                </c:pt>
                <c:pt idx="3">
                  <c:v>0.23680085572546561</c:v>
                </c:pt>
                <c:pt idx="4">
                  <c:v>0.29592282377713752</c:v>
                </c:pt>
                <c:pt idx="5">
                  <c:v>0.35729763504535128</c:v>
                </c:pt>
                <c:pt idx="6">
                  <c:v>0.42623642147014151</c:v>
                </c:pt>
                <c:pt idx="7">
                  <c:v>0.496461108231394</c:v>
                </c:pt>
                <c:pt idx="8">
                  <c:v>0.566447150546038</c:v>
                </c:pt>
                <c:pt idx="9">
                  <c:v>0.64505814161716102</c:v>
                </c:pt>
                <c:pt idx="10">
                  <c:v>0.69504872904726089</c:v>
                </c:pt>
                <c:pt idx="11">
                  <c:v>0.7909623568161479</c:v>
                </c:pt>
                <c:pt idx="12">
                  <c:v>0.877477540454357</c:v>
                </c:pt>
                <c:pt idx="13">
                  <c:v>0.95084203597233308</c:v>
                </c:pt>
                <c:pt idx="14">
                  <c:v>0.99740581875057599</c:v>
                </c:pt>
                <c:pt idx="15">
                  <c:v>1.084294427076677</c:v>
                </c:pt>
                <c:pt idx="16">
                  <c:v>1.1559772408672819</c:v>
                </c:pt>
                <c:pt idx="17">
                  <c:v>1.2126340208126789</c:v>
                </c:pt>
                <c:pt idx="18">
                  <c:v>1.2470554640377292</c:v>
                </c:pt>
                <c:pt idx="19">
                  <c:v>1.3065433633125301</c:v>
                </c:pt>
                <c:pt idx="20">
                  <c:v>1.360337446780604</c:v>
                </c:pt>
                <c:pt idx="21">
                  <c:v>1.3813924692493271</c:v>
                </c:pt>
                <c:pt idx="22">
                  <c:v>1.449173215449973</c:v>
                </c:pt>
                <c:pt idx="23">
                  <c:v>1.4834796725911921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98A8-4EED-97FC-E69C09873DE6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256'!$O$37:$O$60</c:f>
              <c:numCache>
                <c:formatCode>0.0000</c:formatCode>
                <c:ptCount val="24"/>
                <c:pt idx="0">
                  <c:v>4.9316271300094507E-2</c:v>
                </c:pt>
                <c:pt idx="1">
                  <c:v>8.8378420857069595E-2</c:v>
                </c:pt>
                <c:pt idx="2">
                  <c:v>0.1241572632679892</c:v>
                </c:pt>
                <c:pt idx="3">
                  <c:v>0.16092215188678091</c:v>
                </c:pt>
                <c:pt idx="4">
                  <c:v>0.18940623705795709</c:v>
                </c:pt>
                <c:pt idx="5">
                  <c:v>0.2223992917090688</c:v>
                </c:pt>
                <c:pt idx="6">
                  <c:v>0.24687700684203201</c:v>
                </c:pt>
                <c:pt idx="7">
                  <c:v>0.28078057972519999</c:v>
                </c:pt>
                <c:pt idx="8">
                  <c:v>0.30315440194754401</c:v>
                </c:pt>
                <c:pt idx="9">
                  <c:v>0.32578012532592104</c:v>
                </c:pt>
                <c:pt idx="10">
                  <c:v>0.35158680468171094</c:v>
                </c:pt>
                <c:pt idx="11">
                  <c:v>0.38750196416126592</c:v>
                </c:pt>
                <c:pt idx="12">
                  <c:v>0.41573986502791493</c:v>
                </c:pt>
                <c:pt idx="13">
                  <c:v>0.44661126243261701</c:v>
                </c:pt>
                <c:pt idx="14">
                  <c:v>0.46826880958809403</c:v>
                </c:pt>
                <c:pt idx="15">
                  <c:v>0.50959017948873897</c:v>
                </c:pt>
                <c:pt idx="16">
                  <c:v>0.5514312617654209</c:v>
                </c:pt>
                <c:pt idx="17">
                  <c:v>0.59258716875726392</c:v>
                </c:pt>
                <c:pt idx="18">
                  <c:v>0.60852479124735404</c:v>
                </c:pt>
                <c:pt idx="19">
                  <c:v>0.64527027724942099</c:v>
                </c:pt>
                <c:pt idx="20">
                  <c:v>0.69281346167182001</c:v>
                </c:pt>
                <c:pt idx="21">
                  <c:v>0.71550753481753504</c:v>
                </c:pt>
                <c:pt idx="22">
                  <c:v>0.76390593859629796</c:v>
                </c:pt>
                <c:pt idx="23">
                  <c:v>0.80630287612684004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98A8-4EED-97FC-E69C09873DE6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256'!$A$37:$A$60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256'!$P$37:$P$60</c:f>
              <c:numCache>
                <c:formatCode>0.0000</c:formatCode>
                <c:ptCount val="24"/>
                <c:pt idx="0">
                  <c:v>8.8438584906477713E-2</c:v>
                </c:pt>
                <c:pt idx="1">
                  <c:v>0.13116838122215241</c:v>
                </c:pt>
                <c:pt idx="2">
                  <c:v>0.18463216801236881</c:v>
                </c:pt>
                <c:pt idx="3">
                  <c:v>0.23924134623142709</c:v>
                </c:pt>
                <c:pt idx="4">
                  <c:v>0.30200429335335688</c:v>
                </c:pt>
                <c:pt idx="5">
                  <c:v>0.3618277652442452</c:v>
                </c:pt>
                <c:pt idx="6">
                  <c:v>0.43854353173168198</c:v>
                </c:pt>
                <c:pt idx="7">
                  <c:v>0.50603962520074597</c:v>
                </c:pt>
                <c:pt idx="8">
                  <c:v>0.57945169682555808</c:v>
                </c:pt>
                <c:pt idx="9">
                  <c:v>0.66462937097077701</c:v>
                </c:pt>
                <c:pt idx="10">
                  <c:v>0.7098402964451429</c:v>
                </c:pt>
                <c:pt idx="11">
                  <c:v>0.80309671942298799</c:v>
                </c:pt>
                <c:pt idx="12">
                  <c:v>0.89144939063689099</c:v>
                </c:pt>
                <c:pt idx="13">
                  <c:v>0.953804800751479</c:v>
                </c:pt>
                <c:pt idx="14">
                  <c:v>1.005912734705662</c:v>
                </c:pt>
                <c:pt idx="15">
                  <c:v>1.0879921590163191</c:v>
                </c:pt>
                <c:pt idx="16">
                  <c:v>1.148705119904855</c:v>
                </c:pt>
                <c:pt idx="17">
                  <c:v>1.192076241519278</c:v>
                </c:pt>
                <c:pt idx="18">
                  <c:v>1.2230692780341381</c:v>
                </c:pt>
                <c:pt idx="19">
                  <c:v>1.284379029997025</c:v>
                </c:pt>
                <c:pt idx="20">
                  <c:v>1.3156999021159801</c:v>
                </c:pt>
                <c:pt idx="21">
                  <c:v>1.3321478212893652</c:v>
                </c:pt>
                <c:pt idx="22">
                  <c:v>1.3716999787664621</c:v>
                </c:pt>
                <c:pt idx="23">
                  <c:v>1.4046448031682601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98A8-4EED-97FC-E69C09873D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686080"/>
        <c:axId val="186700544"/>
      </c:scatterChart>
      <c:valAx>
        <c:axId val="18668608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700544"/>
        <c:crosses val="autoZero"/>
        <c:crossBetween val="midCat"/>
        <c:minorUnit val="0.1"/>
      </c:valAx>
      <c:valAx>
        <c:axId val="18670054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686080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tx>
            <c:v>MOM</c:v>
          </c:tx>
          <c:spPr>
            <a:ln w="19050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512'!$L$37:$L$59</c:f>
              <c:numCache>
                <c:formatCode>0.0000</c:formatCode>
                <c:ptCount val="23"/>
                <c:pt idx="0">
                  <c:v>0.124178055474673</c:v>
                </c:pt>
                <c:pt idx="1">
                  <c:v>0.12599933362163501</c:v>
                </c:pt>
                <c:pt idx="2">
                  <c:v>0.16722644803922701</c:v>
                </c:pt>
                <c:pt idx="3">
                  <c:v>0.215076392082134</c:v>
                </c:pt>
                <c:pt idx="4">
                  <c:v>0.26247101658830202</c:v>
                </c:pt>
                <c:pt idx="5">
                  <c:v>0.30849968248425103</c:v>
                </c:pt>
                <c:pt idx="6">
                  <c:v>0.36090282189456302</c:v>
                </c:pt>
                <c:pt idx="7">
                  <c:v>0.40908390741873701</c:v>
                </c:pt>
                <c:pt idx="8">
                  <c:v>0.45010405841053902</c:v>
                </c:pt>
                <c:pt idx="9">
                  <c:v>0.49969249523009202</c:v>
                </c:pt>
                <c:pt idx="10">
                  <c:v>0.55219609994398</c:v>
                </c:pt>
                <c:pt idx="11">
                  <c:v>0.59787921865680305</c:v>
                </c:pt>
                <c:pt idx="12">
                  <c:v>0.65565693494015498</c:v>
                </c:pt>
                <c:pt idx="13">
                  <c:v>0.70736742723750701</c:v>
                </c:pt>
                <c:pt idx="14">
                  <c:v>0.75819629825422497</c:v>
                </c:pt>
                <c:pt idx="15">
                  <c:v>0.80019873595729496</c:v>
                </c:pt>
                <c:pt idx="16">
                  <c:v>0.86051725218772601</c:v>
                </c:pt>
                <c:pt idx="17">
                  <c:v>0.88512025510447301</c:v>
                </c:pt>
                <c:pt idx="18">
                  <c:v>0.91850283474888295</c:v>
                </c:pt>
                <c:pt idx="19">
                  <c:v>0.95874004771043597</c:v>
                </c:pt>
                <c:pt idx="20">
                  <c:v>0.99592504297636797</c:v>
                </c:pt>
                <c:pt idx="21">
                  <c:v>1.02910730329866</c:v>
                </c:pt>
                <c:pt idx="22">
                  <c:v>1.0384170630664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D41-4168-B4F3-BC2DDC12C767}"/>
            </c:ext>
          </c:extLst>
        </c:ser>
        <c:ser>
          <c:idx val="11"/>
          <c:order val="1"/>
          <c:tx>
            <c:v>MLE_EM -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512'!$J$37:$J$60</c:f>
              <c:numCache>
                <c:formatCode>0.0000</c:formatCode>
                <c:ptCount val="24"/>
                <c:pt idx="0">
                  <c:v>6.0931326562302657E-2</c:v>
                </c:pt>
                <c:pt idx="1">
                  <c:v>0.10360911017247461</c:v>
                </c:pt>
                <c:pt idx="2">
                  <c:v>0.14233258114948522</c:v>
                </c:pt>
                <c:pt idx="3">
                  <c:v>0.18270774325015929</c:v>
                </c:pt>
                <c:pt idx="4">
                  <c:v>0.22161747500162987</c:v>
                </c:pt>
                <c:pt idx="5">
                  <c:v>0.25464799386148218</c:v>
                </c:pt>
                <c:pt idx="6">
                  <c:v>0.28923625910907069</c:v>
                </c:pt>
                <c:pt idx="7">
                  <c:v>0.32745167419914911</c:v>
                </c:pt>
                <c:pt idx="8">
                  <c:v>0.3599863344476889</c:v>
                </c:pt>
                <c:pt idx="9">
                  <c:v>0.39128807863849802</c:v>
                </c:pt>
                <c:pt idx="10">
                  <c:v>0.42429827054069602</c:v>
                </c:pt>
                <c:pt idx="11">
                  <c:v>0.45672039999457498</c:v>
                </c:pt>
                <c:pt idx="12">
                  <c:v>0.48044853831420409</c:v>
                </c:pt>
                <c:pt idx="13">
                  <c:v>0.52713746697253394</c:v>
                </c:pt>
                <c:pt idx="14">
                  <c:v>0.54789943651107609</c:v>
                </c:pt>
                <c:pt idx="15">
                  <c:v>0.56234964837498391</c:v>
                </c:pt>
                <c:pt idx="16">
                  <c:v>0.60971595048529803</c:v>
                </c:pt>
                <c:pt idx="17">
                  <c:v>0.60853195205856103</c:v>
                </c:pt>
                <c:pt idx="18">
                  <c:v>0.617095009224923</c:v>
                </c:pt>
                <c:pt idx="19">
                  <c:v>0.68437879138207403</c:v>
                </c:pt>
                <c:pt idx="20">
                  <c:v>0.69542170434526607</c:v>
                </c:pt>
                <c:pt idx="21">
                  <c:v>0.71360458003083593</c:v>
                </c:pt>
                <c:pt idx="22">
                  <c:v>0.6622152195742731</c:v>
                </c:pt>
                <c:pt idx="23">
                  <c:v>0.76444570666794298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D41-4168-B4F3-BC2DDC12C767}"/>
            </c:ext>
          </c:extLst>
        </c:ser>
        <c:ser>
          <c:idx val="5"/>
          <c:order val="2"/>
          <c:tx>
            <c:v>Identity</c:v>
          </c:tx>
          <c:spPr>
            <a:ln w="19050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D41-4168-B4F3-BC2DDC12C767}"/>
            </c:ext>
          </c:extLst>
        </c:ser>
        <c:ser>
          <c:idx val="1"/>
          <c:order val="3"/>
          <c:tx>
            <c:v>MLE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512'!$B$37:$B$60</c:f>
              <c:numCache>
                <c:formatCode>0.0000</c:formatCode>
                <c:ptCount val="24"/>
                <c:pt idx="0">
                  <c:v>0.11466603246106601</c:v>
                </c:pt>
                <c:pt idx="1">
                  <c:v>0.121547359125191</c:v>
                </c:pt>
                <c:pt idx="2">
                  <c:v>0.16520193578064901</c:v>
                </c:pt>
                <c:pt idx="3">
                  <c:v>0.217212186610101</c:v>
                </c:pt>
                <c:pt idx="4">
                  <c:v>0.26845001627931903</c:v>
                </c:pt>
                <c:pt idx="5">
                  <c:v>0.31709530437224398</c:v>
                </c:pt>
                <c:pt idx="6">
                  <c:v>0.37063829465132098</c:v>
                </c:pt>
                <c:pt idx="7">
                  <c:v>0.416555141629527</c:v>
                </c:pt>
                <c:pt idx="8">
                  <c:v>0.45563525540743699</c:v>
                </c:pt>
                <c:pt idx="9">
                  <c:v>0.51077211627904695</c:v>
                </c:pt>
                <c:pt idx="10">
                  <c:v>0.54538542758418695</c:v>
                </c:pt>
                <c:pt idx="11">
                  <c:v>0.58575866723793402</c:v>
                </c:pt>
                <c:pt idx="12">
                  <c:v>0.62590572848696702</c:v>
                </c:pt>
                <c:pt idx="13">
                  <c:v>0.65341081560479397</c:v>
                </c:pt>
                <c:pt idx="14">
                  <c:v>0.683272380243515</c:v>
                </c:pt>
                <c:pt idx="15">
                  <c:v>0.71296277855563095</c:v>
                </c:pt>
                <c:pt idx="16">
                  <c:v>0.74471959198198701</c:v>
                </c:pt>
                <c:pt idx="17">
                  <c:v>0.75842730079270104</c:v>
                </c:pt>
                <c:pt idx="18">
                  <c:v>0.75314599999682597</c:v>
                </c:pt>
                <c:pt idx="19">
                  <c:v>0.78303684519160199</c:v>
                </c:pt>
                <c:pt idx="20">
                  <c:v>0.83364222219957096</c:v>
                </c:pt>
                <c:pt idx="21">
                  <c:v>0.88364358031372803</c:v>
                </c:pt>
                <c:pt idx="22">
                  <c:v>0.88931438738650104</c:v>
                </c:pt>
                <c:pt idx="23">
                  <c:v>0.87580297580506805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6D41-4168-B4F3-BC2DDC12C767}"/>
            </c:ext>
          </c:extLst>
        </c:ser>
        <c:ser>
          <c:idx val="4"/>
          <c:order val="4"/>
          <c:tx>
            <c:v>MLE -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512'!$C$37:$C$60</c:f>
              <c:numCache>
                <c:formatCode>0.0000</c:formatCode>
                <c:ptCount val="24"/>
                <c:pt idx="0">
                  <c:v>0.11466505744949924</c:v>
                </c:pt>
                <c:pt idx="1">
                  <c:v>0.12154573701882401</c:v>
                </c:pt>
                <c:pt idx="2">
                  <c:v>0.16519955519347918</c:v>
                </c:pt>
                <c:pt idx="3">
                  <c:v>0.21719454690808807</c:v>
                </c:pt>
                <c:pt idx="4">
                  <c:v>0.26811118987252569</c:v>
                </c:pt>
                <c:pt idx="5">
                  <c:v>0.31504913138151514</c:v>
                </c:pt>
                <c:pt idx="6">
                  <c:v>0.36341114968856281</c:v>
                </c:pt>
                <c:pt idx="7">
                  <c:v>0.40558795342365722</c:v>
                </c:pt>
                <c:pt idx="8">
                  <c:v>0.44156724522280921</c:v>
                </c:pt>
                <c:pt idx="9">
                  <c:v>0.48412423926961734</c:v>
                </c:pt>
                <c:pt idx="10">
                  <c:v>0.51192546506787129</c:v>
                </c:pt>
                <c:pt idx="11">
                  <c:v>0.53619860337891634</c:v>
                </c:pt>
                <c:pt idx="12">
                  <c:v>0.55429897158320862</c:v>
                </c:pt>
                <c:pt idx="13">
                  <c:v>0.57616366562807031</c:v>
                </c:pt>
                <c:pt idx="14">
                  <c:v>0.573500794528086</c:v>
                </c:pt>
                <c:pt idx="15">
                  <c:v>0.59573345993430493</c:v>
                </c:pt>
                <c:pt idx="16">
                  <c:v>0.55808449034945196</c:v>
                </c:pt>
                <c:pt idx="17">
                  <c:v>0.57279260877952698</c:v>
                </c:pt>
                <c:pt idx="18">
                  <c:v>0.55154988834205498</c:v>
                </c:pt>
                <c:pt idx="19">
                  <c:v>0.49078560378200997</c:v>
                </c:pt>
                <c:pt idx="20">
                  <c:v>0.51727473677025504</c:v>
                </c:pt>
                <c:pt idx="21">
                  <c:v>0.50079033952336105</c:v>
                </c:pt>
                <c:pt idx="22">
                  <c:v>0.60402380807577205</c:v>
                </c:pt>
                <c:pt idx="23">
                  <c:v>0.55276020344568311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6D41-4168-B4F3-BC2DDC12C767}"/>
            </c:ext>
          </c:extLst>
        </c:ser>
        <c:ser>
          <c:idx val="6"/>
          <c:order val="5"/>
          <c:tx>
            <c:v>MLE + s^</c:v>
          </c:tx>
          <c:spPr>
            <a:ln w="19050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512'!$D$37:$D$60</c:f>
              <c:numCache>
                <c:formatCode>0.0000</c:formatCode>
                <c:ptCount val="24"/>
                <c:pt idx="0">
                  <c:v>0.11466700747263277</c:v>
                </c:pt>
                <c:pt idx="1">
                  <c:v>0.121548981231558</c:v>
                </c:pt>
                <c:pt idx="2">
                  <c:v>0.16520431636781885</c:v>
                </c:pt>
                <c:pt idx="3">
                  <c:v>0.21722982631211393</c:v>
                </c:pt>
                <c:pt idx="4">
                  <c:v>0.26878884268611236</c:v>
                </c:pt>
                <c:pt idx="5">
                  <c:v>0.31914147736297283</c:v>
                </c:pt>
                <c:pt idx="6">
                  <c:v>0.37786543961407915</c:v>
                </c:pt>
                <c:pt idx="7">
                  <c:v>0.42752232983539679</c:v>
                </c:pt>
                <c:pt idx="8">
                  <c:v>0.46970326559206477</c:v>
                </c:pt>
                <c:pt idx="9">
                  <c:v>0.53741999328847656</c:v>
                </c:pt>
                <c:pt idx="10">
                  <c:v>0.57884539010050262</c:v>
                </c:pt>
                <c:pt idx="11">
                  <c:v>0.63531873109695169</c:v>
                </c:pt>
                <c:pt idx="12">
                  <c:v>0.69751248539072541</c:v>
                </c:pt>
                <c:pt idx="13">
                  <c:v>0.73065796558151763</c:v>
                </c:pt>
                <c:pt idx="14">
                  <c:v>0.793043965958944</c:v>
                </c:pt>
                <c:pt idx="15">
                  <c:v>0.83019209717695697</c:v>
                </c:pt>
                <c:pt idx="16">
                  <c:v>0.93135469361452206</c:v>
                </c:pt>
                <c:pt idx="17">
                  <c:v>0.94406199280587511</c:v>
                </c:pt>
                <c:pt idx="18">
                  <c:v>0.95474211165159695</c:v>
                </c:pt>
                <c:pt idx="19">
                  <c:v>1.075288086601194</c:v>
                </c:pt>
                <c:pt idx="20">
                  <c:v>1.1500097076288869</c:v>
                </c:pt>
                <c:pt idx="21">
                  <c:v>1.266496821104095</c:v>
                </c:pt>
                <c:pt idx="22">
                  <c:v>1.17460496669723</c:v>
                </c:pt>
                <c:pt idx="23">
                  <c:v>1.198845748164453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6D41-4168-B4F3-BC2DDC12C767}"/>
            </c:ext>
          </c:extLst>
        </c:ser>
        <c:ser>
          <c:idx val="7"/>
          <c:order val="6"/>
          <c:tx>
            <c:v>MLE -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512'!$E$37:$E$60</c:f>
              <c:numCache>
                <c:formatCode>0.0000</c:formatCode>
                <c:ptCount val="24"/>
                <c:pt idx="0">
                  <c:v>0.11422593266644082</c:v>
                </c:pt>
                <c:pt idx="1">
                  <c:v>0.11137596444247741</c:v>
                </c:pt>
                <c:pt idx="2">
                  <c:v>0.13750934164463322</c:v>
                </c:pt>
                <c:pt idx="3">
                  <c:v>0.17884766945326641</c:v>
                </c:pt>
                <c:pt idx="4">
                  <c:v>0.22023920840576472</c:v>
                </c:pt>
                <c:pt idx="5">
                  <c:v>0.24793274996648099</c:v>
                </c:pt>
                <c:pt idx="6">
                  <c:v>0.27849155597728226</c:v>
                </c:pt>
                <c:pt idx="7">
                  <c:v>0.31513365772072399</c:v>
                </c:pt>
                <c:pt idx="8">
                  <c:v>0.34062555339039502</c:v>
                </c:pt>
                <c:pt idx="9">
                  <c:v>0.36609396166474595</c:v>
                </c:pt>
                <c:pt idx="10">
                  <c:v>0.39516225558318196</c:v>
                </c:pt>
                <c:pt idx="11">
                  <c:v>0.42566363486425501</c:v>
                </c:pt>
                <c:pt idx="12">
                  <c:v>0.44831572588311902</c:v>
                </c:pt>
                <c:pt idx="13">
                  <c:v>0.47714937466835894</c:v>
                </c:pt>
                <c:pt idx="14">
                  <c:v>0.49963234922654498</c:v>
                </c:pt>
                <c:pt idx="15">
                  <c:v>0.51392774050507595</c:v>
                </c:pt>
                <c:pt idx="16">
                  <c:v>0.55836740028989595</c:v>
                </c:pt>
                <c:pt idx="17">
                  <c:v>0.57465410402683303</c:v>
                </c:pt>
                <c:pt idx="18">
                  <c:v>0.56207784027226992</c:v>
                </c:pt>
                <c:pt idx="19">
                  <c:v>0.56664504817039596</c:v>
                </c:pt>
                <c:pt idx="20">
                  <c:v>0.61329568519514599</c:v>
                </c:pt>
                <c:pt idx="21">
                  <c:v>0.68666178617201501</c:v>
                </c:pt>
                <c:pt idx="22">
                  <c:v>0.72747088389583803</c:v>
                </c:pt>
                <c:pt idx="23">
                  <c:v>0.73077627810903412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6-6D41-4168-B4F3-BC2DDC12C767}"/>
            </c:ext>
          </c:extLst>
        </c:ser>
        <c:ser>
          <c:idx val="8"/>
          <c:order val="7"/>
          <c:tx>
            <c:v>MLE + s</c:v>
          </c:tx>
          <c:spPr>
            <a:ln w="19050" cap="rnd">
              <a:solidFill>
                <a:srgbClr val="FF000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512'!$F$37:$F$60</c:f>
              <c:numCache>
                <c:formatCode>0.0000</c:formatCode>
                <c:ptCount val="24"/>
                <c:pt idx="0">
                  <c:v>0.11510613225569119</c:v>
                </c:pt>
                <c:pt idx="1">
                  <c:v>0.1317187538079046</c:v>
                </c:pt>
                <c:pt idx="2">
                  <c:v>0.19289452991666481</c:v>
                </c:pt>
                <c:pt idx="3">
                  <c:v>0.25557670376693559</c:v>
                </c:pt>
                <c:pt idx="4">
                  <c:v>0.31666082415287333</c:v>
                </c:pt>
                <c:pt idx="5">
                  <c:v>0.386257858778007</c:v>
                </c:pt>
                <c:pt idx="6">
                  <c:v>0.4627850333253597</c:v>
                </c:pt>
                <c:pt idx="7">
                  <c:v>0.51797662553833002</c:v>
                </c:pt>
                <c:pt idx="8">
                  <c:v>0.57064495742447896</c:v>
                </c:pt>
                <c:pt idx="9">
                  <c:v>0.65545027089334795</c:v>
                </c:pt>
                <c:pt idx="10">
                  <c:v>0.69560859958519194</c:v>
                </c:pt>
                <c:pt idx="11">
                  <c:v>0.74585369961161296</c:v>
                </c:pt>
                <c:pt idx="12">
                  <c:v>0.80349573109081507</c:v>
                </c:pt>
                <c:pt idx="13">
                  <c:v>0.829672256541229</c:v>
                </c:pt>
                <c:pt idx="14">
                  <c:v>0.86691241126048502</c:v>
                </c:pt>
                <c:pt idx="15">
                  <c:v>0.91199781660618595</c:v>
                </c:pt>
                <c:pt idx="16">
                  <c:v>0.93107178367407806</c:v>
                </c:pt>
                <c:pt idx="17">
                  <c:v>0.94220049755856905</c:v>
                </c:pt>
                <c:pt idx="18">
                  <c:v>0.94421415972138201</c:v>
                </c:pt>
                <c:pt idx="19">
                  <c:v>0.99942864221280803</c:v>
                </c:pt>
                <c:pt idx="20">
                  <c:v>1.053988759203996</c:v>
                </c:pt>
                <c:pt idx="21">
                  <c:v>1.080625374455441</c:v>
                </c:pt>
                <c:pt idx="22">
                  <c:v>1.0511578908771639</c:v>
                </c:pt>
                <c:pt idx="23">
                  <c:v>1.020829673501102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7-6D41-4168-B4F3-BC2DDC12C767}"/>
            </c:ext>
          </c:extLst>
        </c:ser>
        <c:ser>
          <c:idx val="2"/>
          <c:order val="8"/>
          <c:tx>
            <c:v>MLE_EM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512'!$G$37:$G$60</c:f>
              <c:numCache>
                <c:formatCode>0.0000</c:formatCode>
                <c:ptCount val="24"/>
                <c:pt idx="0">
                  <c:v>6.7324292977164205E-2</c:v>
                </c:pt>
                <c:pt idx="1">
                  <c:v>0.11642053305747301</c:v>
                </c:pt>
                <c:pt idx="2">
                  <c:v>0.16386756813489201</c:v>
                </c:pt>
                <c:pt idx="3">
                  <c:v>0.21311249858890499</c:v>
                </c:pt>
                <c:pt idx="4">
                  <c:v>0.26062409363515299</c:v>
                </c:pt>
                <c:pt idx="5">
                  <c:v>0.30805961281174299</c:v>
                </c:pt>
                <c:pt idx="6">
                  <c:v>0.359566152476059</c:v>
                </c:pt>
                <c:pt idx="7">
                  <c:v>0.40795883847432401</c:v>
                </c:pt>
                <c:pt idx="8">
                  <c:v>0.449367138854328</c:v>
                </c:pt>
                <c:pt idx="9">
                  <c:v>0.49956082670861801</c:v>
                </c:pt>
                <c:pt idx="10">
                  <c:v>0.55264164638163404</c:v>
                </c:pt>
                <c:pt idx="11">
                  <c:v>0.59799553847734599</c:v>
                </c:pt>
                <c:pt idx="12">
                  <c:v>0.65544107785653005</c:v>
                </c:pt>
                <c:pt idx="13">
                  <c:v>0.70960752457735399</c:v>
                </c:pt>
                <c:pt idx="14">
                  <c:v>0.76251916417436005</c:v>
                </c:pt>
                <c:pt idx="15">
                  <c:v>0.81678021487210795</c:v>
                </c:pt>
                <c:pt idx="16">
                  <c:v>0.87629286951157703</c:v>
                </c:pt>
                <c:pt idx="17">
                  <c:v>0.91837821200057701</c:v>
                </c:pt>
                <c:pt idx="18">
                  <c:v>0.98342436223221297</c:v>
                </c:pt>
                <c:pt idx="19">
                  <c:v>1.03762549285461</c:v>
                </c:pt>
                <c:pt idx="20">
                  <c:v>1.1226608796620601</c:v>
                </c:pt>
                <c:pt idx="21">
                  <c:v>1.1641153761570899</c:v>
                </c:pt>
                <c:pt idx="22">
                  <c:v>1.2502253632527001</c:v>
                </c:pt>
                <c:pt idx="23">
                  <c:v>1.27799370636309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8-6D41-4168-B4F3-BC2DDC12C767}"/>
            </c:ext>
          </c:extLst>
        </c:ser>
        <c:ser>
          <c:idx val="9"/>
          <c:order val="9"/>
          <c:tx>
            <c:v>MLE_EM -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512'!$H$37:$H$59</c:f>
              <c:numCache>
                <c:formatCode>0.0000</c:formatCode>
                <c:ptCount val="23"/>
                <c:pt idx="0">
                  <c:v>6.2312012279152881E-2</c:v>
                </c:pt>
                <c:pt idx="1">
                  <c:v>0.10500957362121781</c:v>
                </c:pt>
                <c:pt idx="2">
                  <c:v>0.14477653689276559</c:v>
                </c:pt>
                <c:pt idx="3">
                  <c:v>0.18476627972392298</c:v>
                </c:pt>
                <c:pt idx="4">
                  <c:v>0.2222595284441907</c:v>
                </c:pt>
                <c:pt idx="5">
                  <c:v>0.25862542582443482</c:v>
                </c:pt>
                <c:pt idx="6">
                  <c:v>0.29704747389164371</c:v>
                </c:pt>
                <c:pt idx="7">
                  <c:v>0.3323873262408446</c:v>
                </c:pt>
                <c:pt idx="8">
                  <c:v>0.36197697680872581</c:v>
                </c:pt>
                <c:pt idx="9">
                  <c:v>0.396858722899609</c:v>
                </c:pt>
                <c:pt idx="10">
                  <c:v>0.43285775539577004</c:v>
                </c:pt>
                <c:pt idx="11">
                  <c:v>0.46306050439345903</c:v>
                </c:pt>
                <c:pt idx="12">
                  <c:v>0.49981707166492106</c:v>
                </c:pt>
                <c:pt idx="13">
                  <c:v>0.53460508907667403</c:v>
                </c:pt>
                <c:pt idx="14">
                  <c:v>0.56672506970464209</c:v>
                </c:pt>
                <c:pt idx="15">
                  <c:v>0.59854501955012895</c:v>
                </c:pt>
                <c:pt idx="16">
                  <c:v>0.63401085200450003</c:v>
                </c:pt>
                <c:pt idx="17">
                  <c:v>0.65688002519710809</c:v>
                </c:pt>
                <c:pt idx="18">
                  <c:v>0.69154499420747795</c:v>
                </c:pt>
                <c:pt idx="19">
                  <c:v>0.72308650054396906</c:v>
                </c:pt>
                <c:pt idx="20">
                  <c:v>0.76594753478399213</c:v>
                </c:pt>
                <c:pt idx="21">
                  <c:v>0.78696901273930986</c:v>
                </c:pt>
                <c:pt idx="22">
                  <c:v>0.82426198617213109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9-6D41-4168-B4F3-BC2DDC12C767}"/>
            </c:ext>
          </c:extLst>
        </c:ser>
        <c:ser>
          <c:idx val="0"/>
          <c:order val="1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A-6D41-4168-B4F3-BC2DDC12C767}"/>
            </c:ext>
          </c:extLst>
        </c:ser>
        <c:ser>
          <c:idx val="10"/>
          <c:order val="11"/>
          <c:tx>
            <c:v>MLE_EM + s^</c:v>
          </c:tx>
          <c:spPr>
            <a:ln w="19050" cap="rnd">
              <a:solidFill>
                <a:srgbClr val="7030A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512'!$A$37:$A$59</c:f>
              <c:numCache>
                <c:formatCode>0.0000</c:formatCode>
                <c:ptCount val="23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</c:numCache>
            </c:numRef>
          </c:xVal>
          <c:yVal>
            <c:numRef>
              <c:f>'means 512'!$I$37:$I$60</c:f>
              <c:numCache>
                <c:formatCode>0.0000</c:formatCode>
                <c:ptCount val="24"/>
                <c:pt idx="0">
                  <c:v>7.2336573675175528E-2</c:v>
                </c:pt>
                <c:pt idx="1">
                  <c:v>0.12783149249372822</c:v>
                </c:pt>
                <c:pt idx="2">
                  <c:v>0.18295859937701842</c:v>
                </c:pt>
                <c:pt idx="3">
                  <c:v>0.241458717453887</c:v>
                </c:pt>
                <c:pt idx="4">
                  <c:v>0.29898865882611531</c:v>
                </c:pt>
                <c:pt idx="5">
                  <c:v>0.35749379979905116</c:v>
                </c:pt>
                <c:pt idx="6">
                  <c:v>0.42208483106047429</c:v>
                </c:pt>
                <c:pt idx="7">
                  <c:v>0.48353035070780342</c:v>
                </c:pt>
                <c:pt idx="8">
                  <c:v>0.53675730089993023</c:v>
                </c:pt>
                <c:pt idx="9">
                  <c:v>0.60226293051762703</c:v>
                </c:pt>
                <c:pt idx="10">
                  <c:v>0.67242553736749811</c:v>
                </c:pt>
                <c:pt idx="11">
                  <c:v>0.73293057256123295</c:v>
                </c:pt>
                <c:pt idx="12">
                  <c:v>0.81106508404813904</c:v>
                </c:pt>
                <c:pt idx="13">
                  <c:v>0.88460996007803394</c:v>
                </c:pt>
                <c:pt idx="14">
                  <c:v>0.95831325864407801</c:v>
                </c:pt>
                <c:pt idx="15">
                  <c:v>1.0350154101940869</c:v>
                </c:pt>
                <c:pt idx="16">
                  <c:v>1.118574887018654</c:v>
                </c:pt>
                <c:pt idx="17">
                  <c:v>1.1798763988040459</c:v>
                </c:pt>
                <c:pt idx="18">
                  <c:v>1.2753037302569479</c:v>
                </c:pt>
                <c:pt idx="19">
                  <c:v>1.352164485165251</c:v>
                </c:pt>
                <c:pt idx="20">
                  <c:v>1.479374224540128</c:v>
                </c:pt>
                <c:pt idx="21">
                  <c:v>1.54126173957487</c:v>
                </c:pt>
                <c:pt idx="22">
                  <c:v>1.6761887403332691</c:v>
                </c:pt>
                <c:pt idx="23">
                  <c:v>1.7134642755958889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B-6D41-4168-B4F3-BC2DDC12C767}"/>
            </c:ext>
          </c:extLst>
        </c:ser>
        <c:ser>
          <c:idx val="12"/>
          <c:order val="12"/>
          <c:tx>
            <c:v>MLE_EM + s</c:v>
          </c:tx>
          <c:spPr>
            <a:ln w="19050" cap="rnd">
              <a:solidFill>
                <a:srgbClr val="7030A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512'!$K$37:$K$60</c:f>
              <c:numCache>
                <c:formatCode>0.0000</c:formatCode>
                <c:ptCount val="24"/>
                <c:pt idx="0">
                  <c:v>7.3717259392025752E-2</c:v>
                </c:pt>
                <c:pt idx="1">
                  <c:v>0.12923195594247142</c:v>
                </c:pt>
                <c:pt idx="2">
                  <c:v>0.1854025551202988</c:v>
                </c:pt>
                <c:pt idx="3">
                  <c:v>0.2435172539276507</c:v>
                </c:pt>
                <c:pt idx="4">
                  <c:v>0.2996307122686761</c:v>
                </c:pt>
                <c:pt idx="5">
                  <c:v>0.3614712317620038</c:v>
                </c:pt>
                <c:pt idx="6">
                  <c:v>0.4298960458430473</c:v>
                </c:pt>
                <c:pt idx="7">
                  <c:v>0.48846600274949892</c:v>
                </c:pt>
                <c:pt idx="8">
                  <c:v>0.53874794326096709</c:v>
                </c:pt>
                <c:pt idx="9">
                  <c:v>0.60783357477873801</c:v>
                </c:pt>
                <c:pt idx="10">
                  <c:v>0.68098502222257207</c:v>
                </c:pt>
                <c:pt idx="11">
                  <c:v>0.73927067696011695</c:v>
                </c:pt>
                <c:pt idx="12">
                  <c:v>0.83043361739885602</c:v>
                </c:pt>
                <c:pt idx="13">
                  <c:v>0.89207758218217403</c:v>
                </c:pt>
                <c:pt idx="14">
                  <c:v>0.97713889183764402</c:v>
                </c:pt>
                <c:pt idx="15">
                  <c:v>1.071210781369232</c:v>
                </c:pt>
                <c:pt idx="16">
                  <c:v>1.142869788537856</c:v>
                </c:pt>
                <c:pt idx="17">
                  <c:v>1.228224471942593</c:v>
                </c:pt>
                <c:pt idx="18">
                  <c:v>1.3497537152395029</c:v>
                </c:pt>
                <c:pt idx="19">
                  <c:v>1.390872194327146</c:v>
                </c:pt>
                <c:pt idx="20">
                  <c:v>1.549900054978854</c:v>
                </c:pt>
                <c:pt idx="21">
                  <c:v>1.6146261722833439</c:v>
                </c:pt>
                <c:pt idx="22">
                  <c:v>1.8382355069311269</c:v>
                </c:pt>
                <c:pt idx="23">
                  <c:v>1.7915417060582368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C-6D41-4168-B4F3-BC2DDC12C767}"/>
            </c:ext>
          </c:extLst>
        </c:ser>
        <c:ser>
          <c:idx val="13"/>
          <c:order val="13"/>
          <c:tx>
            <c:v>MOM -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512'!$M$37:$M$60</c:f>
              <c:numCache>
                <c:formatCode>0.0000</c:formatCode>
                <c:ptCount val="24"/>
                <c:pt idx="0">
                  <c:v>0.11166616642534841</c:v>
                </c:pt>
                <c:pt idx="1">
                  <c:v>0.11319043545683802</c:v>
                </c:pt>
                <c:pt idx="2">
                  <c:v>0.1475200427926443</c:v>
                </c:pt>
                <c:pt idx="3">
                  <c:v>0.18632377882237469</c:v>
                </c:pt>
                <c:pt idx="4">
                  <c:v>0.22370161615338502</c:v>
                </c:pt>
                <c:pt idx="5">
                  <c:v>0.25897174210502172</c:v>
                </c:pt>
                <c:pt idx="6">
                  <c:v>0.29806081629154962</c:v>
                </c:pt>
                <c:pt idx="7">
                  <c:v>0.33323251736681259</c:v>
                </c:pt>
                <c:pt idx="8">
                  <c:v>0.36270224082310931</c:v>
                </c:pt>
                <c:pt idx="9">
                  <c:v>0.39768655085308002</c:v>
                </c:pt>
                <c:pt idx="10">
                  <c:v>0.43149568496152002</c:v>
                </c:pt>
                <c:pt idx="11">
                  <c:v>0.46211032535904506</c:v>
                </c:pt>
                <c:pt idx="12">
                  <c:v>0.492732756300993</c:v>
                </c:pt>
                <c:pt idx="13">
                  <c:v>0.52478258174805803</c:v>
                </c:pt>
                <c:pt idx="14">
                  <c:v>0.55341922656832798</c:v>
                </c:pt>
                <c:pt idx="15">
                  <c:v>0.56837655762897799</c:v>
                </c:pt>
                <c:pt idx="16">
                  <c:v>0.60059025541225197</c:v>
                </c:pt>
                <c:pt idx="17">
                  <c:v>0.62018688902819297</c:v>
                </c:pt>
                <c:pt idx="18">
                  <c:v>0.62780758917249591</c:v>
                </c:pt>
                <c:pt idx="19">
                  <c:v>0.65167692378189601</c:v>
                </c:pt>
                <c:pt idx="20">
                  <c:v>0.67700506774864699</c:v>
                </c:pt>
                <c:pt idx="21">
                  <c:v>0.68700986931177899</c:v>
                </c:pt>
                <c:pt idx="22">
                  <c:v>0.71159215255964503</c:v>
                </c:pt>
                <c:pt idx="23">
                  <c:v>0.70214277081489396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D-6D41-4168-B4F3-BC2DDC12C767}"/>
            </c:ext>
          </c:extLst>
        </c:ser>
        <c:ser>
          <c:idx val="14"/>
          <c:order val="14"/>
          <c:tx>
            <c:v>MOM + s^</c:v>
          </c:tx>
          <c:spPr>
            <a:ln w="19050" cap="rnd">
              <a:solidFill>
                <a:srgbClr val="0070C0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512'!$N$37:$N$60</c:f>
              <c:numCache>
                <c:formatCode>0.0000</c:formatCode>
                <c:ptCount val="24"/>
                <c:pt idx="0">
                  <c:v>0.1366899445239976</c:v>
                </c:pt>
                <c:pt idx="1">
                  <c:v>0.13880823178643201</c:v>
                </c:pt>
                <c:pt idx="2">
                  <c:v>0.18693285328580972</c:v>
                </c:pt>
                <c:pt idx="3">
                  <c:v>0.24382900534189331</c:v>
                </c:pt>
                <c:pt idx="4">
                  <c:v>0.30124041702321902</c:v>
                </c:pt>
                <c:pt idx="5">
                  <c:v>0.35802762286348033</c:v>
                </c:pt>
                <c:pt idx="6">
                  <c:v>0.42374482749757642</c:v>
                </c:pt>
                <c:pt idx="7">
                  <c:v>0.48493529747066144</c:v>
                </c:pt>
                <c:pt idx="8">
                  <c:v>0.53750587599796873</c:v>
                </c:pt>
                <c:pt idx="9">
                  <c:v>0.60169843960710401</c:v>
                </c:pt>
                <c:pt idx="10">
                  <c:v>0.67289651492643998</c:v>
                </c:pt>
                <c:pt idx="11">
                  <c:v>0.73364811195456103</c:v>
                </c:pt>
                <c:pt idx="12">
                  <c:v>0.81858111357931695</c:v>
                </c:pt>
                <c:pt idx="13">
                  <c:v>0.88995227272695598</c:v>
                </c:pt>
                <c:pt idx="14">
                  <c:v>0.96297336994012195</c:v>
                </c:pt>
                <c:pt idx="15">
                  <c:v>1.032020914285612</c:v>
                </c:pt>
                <c:pt idx="16">
                  <c:v>1.1204442489632001</c:v>
                </c:pt>
                <c:pt idx="17">
                  <c:v>1.150053621180753</c:v>
                </c:pt>
                <c:pt idx="18">
                  <c:v>1.20919808032527</c:v>
                </c:pt>
                <c:pt idx="19">
                  <c:v>1.2658031716389759</c:v>
                </c:pt>
                <c:pt idx="20">
                  <c:v>1.3148450182040889</c:v>
                </c:pt>
                <c:pt idx="21">
                  <c:v>1.3712047372855409</c:v>
                </c:pt>
                <c:pt idx="22">
                  <c:v>1.3652419735731551</c:v>
                </c:pt>
                <c:pt idx="23">
                  <c:v>1.3645828088585259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E-6D41-4168-B4F3-BC2DDC12C767}"/>
            </c:ext>
          </c:extLst>
        </c:ser>
        <c:ser>
          <c:idx val="15"/>
          <c:order val="15"/>
          <c:tx>
            <c:v>MOM -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512'!$O$37:$O$60</c:f>
              <c:numCache>
                <c:formatCode>0.0000</c:formatCode>
                <c:ptCount val="24"/>
                <c:pt idx="0">
                  <c:v>0.12417805547467116</c:v>
                </c:pt>
                <c:pt idx="1">
                  <c:v>0.11750564881963856</c:v>
                </c:pt>
                <c:pt idx="2">
                  <c:v>0.1428522801788244</c:v>
                </c:pt>
                <c:pt idx="3">
                  <c:v>0.1829020470016112</c:v>
                </c:pt>
                <c:pt idx="4">
                  <c:v>0.22247504346445762</c:v>
                </c:pt>
                <c:pt idx="5">
                  <c:v>0.25368688074961293</c:v>
                </c:pt>
                <c:pt idx="6">
                  <c:v>0.28933981275200504</c:v>
                </c:pt>
                <c:pt idx="7">
                  <c:v>0.32789557513779555</c:v>
                </c:pt>
                <c:pt idx="8">
                  <c:v>0.36131964604281963</c:v>
                </c:pt>
                <c:pt idx="9">
                  <c:v>0.392490047315458</c:v>
                </c:pt>
                <c:pt idx="10">
                  <c:v>0.42340088408152599</c:v>
                </c:pt>
                <c:pt idx="11">
                  <c:v>0.45428479651748405</c:v>
                </c:pt>
                <c:pt idx="12">
                  <c:v>0.47836328421770496</c:v>
                </c:pt>
                <c:pt idx="13">
                  <c:v>0.52833116205032205</c:v>
                </c:pt>
                <c:pt idx="14">
                  <c:v>0.55082062865748393</c:v>
                </c:pt>
                <c:pt idx="15">
                  <c:v>0.57433022737941697</c:v>
                </c:pt>
                <c:pt idx="16">
                  <c:v>0.61349045763142396</c:v>
                </c:pt>
                <c:pt idx="17">
                  <c:v>0.62484286258519495</c:v>
                </c:pt>
                <c:pt idx="18">
                  <c:v>0.6408521347815499</c:v>
                </c:pt>
                <c:pt idx="19">
                  <c:v>0.66231354054808</c:v>
                </c:pt>
                <c:pt idx="20">
                  <c:v>0.67195054018021905</c:v>
                </c:pt>
                <c:pt idx="21">
                  <c:v>0.70059522355605597</c:v>
                </c:pt>
                <c:pt idx="22">
                  <c:v>0.6732556528115341</c:v>
                </c:pt>
                <c:pt idx="23">
                  <c:v>0.64802854578874791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F-6D41-4168-B4F3-BC2DDC12C767}"/>
            </c:ext>
          </c:extLst>
        </c:ser>
        <c:ser>
          <c:idx val="16"/>
          <c:order val="16"/>
          <c:tx>
            <c:v>MOM + s</c:v>
          </c:tx>
          <c:spPr>
            <a:ln w="19050" cap="rnd">
              <a:solidFill>
                <a:srgbClr val="0070C0"/>
              </a:solidFill>
              <a:prstDash val="dashDot"/>
              <a:round/>
            </a:ln>
            <a:effectLst/>
          </c:spPr>
          <c:marker>
            <c:symbol val="none"/>
          </c:marker>
          <c:xVal>
            <c:numRef>
              <c:f>'means 512'!$A$37:$A$60</c:f>
              <c:numCache>
                <c:formatCode>0.0000</c:formatCode>
                <c:ptCount val="24"/>
                <c:pt idx="0">
                  <c:v>4.1392685158224501E-2</c:v>
                </c:pt>
                <c:pt idx="1">
                  <c:v>8.2785370316449003E-2</c:v>
                </c:pt>
                <c:pt idx="2">
                  <c:v>0.124178055474673</c:v>
                </c:pt>
                <c:pt idx="3">
                  <c:v>0.16557074063289801</c:v>
                </c:pt>
                <c:pt idx="4">
                  <c:v>0.20696342579112301</c:v>
                </c:pt>
                <c:pt idx="5">
                  <c:v>0.24835611094934601</c:v>
                </c:pt>
                <c:pt idx="6">
                  <c:v>0.28974879610757398</c:v>
                </c:pt>
                <c:pt idx="7">
                  <c:v>0.33114148126579601</c:v>
                </c:pt>
                <c:pt idx="8">
                  <c:v>0.37253416642402998</c:v>
                </c:pt>
                <c:pt idx="9">
                  <c:v>0.41392685158224601</c:v>
                </c:pt>
                <c:pt idx="10">
                  <c:v>0.45531953674048498</c:v>
                </c:pt>
                <c:pt idx="11">
                  <c:v>0.49671222189869302</c:v>
                </c:pt>
                <c:pt idx="12">
                  <c:v>0.53810490705693204</c:v>
                </c:pt>
                <c:pt idx="13">
                  <c:v>0.57949759221514796</c:v>
                </c:pt>
                <c:pt idx="14">
                  <c:v>0.62089027737336999</c:v>
                </c:pt>
                <c:pt idx="15">
                  <c:v>0.66228296253159202</c:v>
                </c:pt>
                <c:pt idx="16">
                  <c:v>0.70367564768981405</c:v>
                </c:pt>
                <c:pt idx="17">
                  <c:v>0.74506833284806095</c:v>
                </c:pt>
                <c:pt idx="18">
                  <c:v>0.78646101800628598</c:v>
                </c:pt>
                <c:pt idx="19">
                  <c:v>0.82785370316449203</c:v>
                </c:pt>
                <c:pt idx="20">
                  <c:v>0.86924638832272205</c:v>
                </c:pt>
                <c:pt idx="21">
                  <c:v>0.91063907348097095</c:v>
                </c:pt>
                <c:pt idx="22">
                  <c:v>0.95203175863915301</c:v>
                </c:pt>
                <c:pt idx="23">
                  <c:v>0.99342444379738704</c:v>
                </c:pt>
              </c:numCache>
            </c:numRef>
          </c:xVal>
          <c:yVal>
            <c:numRef>
              <c:f>'means 512'!$P$37:$P$60</c:f>
              <c:numCache>
                <c:formatCode>0.0000</c:formatCode>
                <c:ptCount val="24"/>
                <c:pt idx="0">
                  <c:v>0.12417805547467485</c:v>
                </c:pt>
                <c:pt idx="1">
                  <c:v>0.13449301842363148</c:v>
                </c:pt>
                <c:pt idx="2">
                  <c:v>0.19160061589962962</c:v>
                </c:pt>
                <c:pt idx="3">
                  <c:v>0.2472507371626568</c:v>
                </c:pt>
                <c:pt idx="4">
                  <c:v>0.30246698971214642</c:v>
                </c:pt>
                <c:pt idx="5">
                  <c:v>0.36331248421888912</c:v>
                </c:pt>
                <c:pt idx="6">
                  <c:v>0.432465831037121</c:v>
                </c:pt>
                <c:pt idx="7">
                  <c:v>0.49027223969967848</c:v>
                </c:pt>
                <c:pt idx="8">
                  <c:v>0.53888847077825841</c:v>
                </c:pt>
                <c:pt idx="9">
                  <c:v>0.60689494314472603</c:v>
                </c:pt>
                <c:pt idx="10">
                  <c:v>0.68099131580643402</c:v>
                </c:pt>
                <c:pt idx="11">
                  <c:v>0.74147364079612199</c:v>
                </c:pt>
                <c:pt idx="12">
                  <c:v>0.83295058566260494</c:v>
                </c:pt>
                <c:pt idx="13">
                  <c:v>0.88640369242469197</c:v>
                </c:pt>
                <c:pt idx="14">
                  <c:v>0.965571967850966</c:v>
                </c:pt>
                <c:pt idx="15">
                  <c:v>1.0260672445351728</c:v>
                </c:pt>
                <c:pt idx="16">
                  <c:v>1.1075440467440281</c:v>
                </c:pt>
                <c:pt idx="17">
                  <c:v>1.1453976476237511</c:v>
                </c:pt>
                <c:pt idx="18">
                  <c:v>1.196153534716216</c:v>
                </c:pt>
                <c:pt idx="19">
                  <c:v>1.2551665548727919</c:v>
                </c:pt>
                <c:pt idx="20">
                  <c:v>1.3198995457725169</c:v>
                </c:pt>
                <c:pt idx="21">
                  <c:v>1.3576193830412639</c:v>
                </c:pt>
                <c:pt idx="22">
                  <c:v>1.403578473321266</c:v>
                </c:pt>
                <c:pt idx="23">
                  <c:v>1.4186970338846718</c:v>
                </c:pt>
              </c:numCache>
            </c:numRef>
          </c:y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10-6D41-4168-B4F3-BC2DDC12C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492032"/>
        <c:axId val="186493952"/>
      </c:scatterChart>
      <c:valAx>
        <c:axId val="186492032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log</a:t>
                </a:r>
                <a:r>
                  <a:rPr lang="en-US" baseline="-25000"/>
                  <a:t>10</a:t>
                </a:r>
                <a:r>
                  <a:rPr lang="en-US"/>
                  <a:t> R_0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3952"/>
        <c:crosses val="autoZero"/>
        <c:crossBetween val="midCat"/>
        <c:minorUnit val="0.1"/>
      </c:valAx>
      <c:valAx>
        <c:axId val="186493952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Estimated</a:t>
                </a:r>
                <a:r>
                  <a:rPr lang="en-US" baseline="0"/>
                  <a:t> log</a:t>
                </a:r>
                <a:r>
                  <a:rPr lang="en-US" baseline="-25000"/>
                  <a:t>10</a:t>
                </a:r>
                <a:r>
                  <a:rPr lang="en-US" baseline="0"/>
                  <a:t> R_0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492032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161925</xdr:colOff>
      <xdr:row>0</xdr:row>
      <xdr:rowOff>123825</xdr:rowOff>
    </xdr:from>
    <xdr:to>
      <xdr:col>24</xdr:col>
      <xdr:colOff>571500</xdr:colOff>
      <xdr:row>24</xdr:row>
      <xdr:rowOff>76199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EDBE7A4-62C8-435F-BDD0-A8ABEA201A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171450</xdr:colOff>
      <xdr:row>0</xdr:row>
      <xdr:rowOff>142875</xdr:rowOff>
    </xdr:from>
    <xdr:to>
      <xdr:col>24</xdr:col>
      <xdr:colOff>581025</xdr:colOff>
      <xdr:row>24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1532310-6E17-4ABE-AFDE-C6093D23B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142875</xdr:colOff>
      <xdr:row>0</xdr:row>
      <xdr:rowOff>85725</xdr:rowOff>
    </xdr:from>
    <xdr:to>
      <xdr:col>24</xdr:col>
      <xdr:colOff>552450</xdr:colOff>
      <xdr:row>24</xdr:row>
      <xdr:rowOff>38099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226D53E4-23F5-4859-92A1-2B7A0D9B52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180975</xdr:colOff>
      <xdr:row>0</xdr:row>
      <xdr:rowOff>133350</xdr:rowOff>
    </xdr:from>
    <xdr:to>
      <xdr:col>24</xdr:col>
      <xdr:colOff>590550</xdr:colOff>
      <xdr:row>24</xdr:row>
      <xdr:rowOff>85724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E4C08D61-0CBA-454C-97B2-8812872939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133349</xdr:colOff>
      <xdr:row>0</xdr:row>
      <xdr:rowOff>47624</xdr:rowOff>
    </xdr:from>
    <xdr:to>
      <xdr:col>24</xdr:col>
      <xdr:colOff>638175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A76F4FDA-0E8F-4303-9B03-15FE57749E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284629</xdr:colOff>
      <xdr:row>0</xdr:row>
      <xdr:rowOff>110378</xdr:rowOff>
    </xdr:from>
    <xdr:to>
      <xdr:col>24</xdr:col>
      <xdr:colOff>589430</xdr:colOff>
      <xdr:row>24</xdr:row>
      <xdr:rowOff>62752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15B3D9AD-BBE3-49F6-96B6-4B29753C1F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176493</xdr:colOff>
      <xdr:row>0</xdr:row>
      <xdr:rowOff>92449</xdr:rowOff>
    </xdr:from>
    <xdr:to>
      <xdr:col>24</xdr:col>
      <xdr:colOff>588870</xdr:colOff>
      <xdr:row>24</xdr:row>
      <xdr:rowOff>44823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D6D5ECFB-FB21-4C24-AFE5-59409B4FC3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B8" sqref="B8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8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1.1000000000000101</v>
      </c>
      <c r="B11">
        <v>4.1392685158224703E-2</v>
      </c>
      <c r="C11">
        <v>1.17666418825805</v>
      </c>
      <c r="D11">
        <v>6.7961782425151496E-2</v>
      </c>
      <c r="E11">
        <v>2.4445986955667202E-3</v>
      </c>
      <c r="F11">
        <v>4.7456522221525403E-2</v>
      </c>
      <c r="G11">
        <v>1.1767063751139299</v>
      </c>
      <c r="H11">
        <v>6.7975859965487204E-2</v>
      </c>
      <c r="I11">
        <v>5.1932892436774701E-2</v>
      </c>
      <c r="J11">
        <v>4.74702776364785E-2</v>
      </c>
      <c r="K11">
        <v>1.18845113024758</v>
      </c>
      <c r="L11">
        <v>7.2314669549837104E-2</v>
      </c>
      <c r="M11">
        <v>5.55439923239886E-2</v>
      </c>
      <c r="N11">
        <v>4.7100045188124301E-2</v>
      </c>
      <c r="O11" s="2">
        <f>B2-P11</f>
        <v>931</v>
      </c>
      <c r="P11">
        <v>69</v>
      </c>
      <c r="Q11" s="1">
        <f>P11/1000</f>
        <v>6.9000000000000006E-2</v>
      </c>
    </row>
    <row r="12" spans="1:17" x14ac:dyDescent="0.25">
      <c r="A12">
        <v>1.21000000000001</v>
      </c>
      <c r="B12">
        <v>8.2785370316450196E-2</v>
      </c>
      <c r="C12">
        <v>1.24776968735266</v>
      </c>
      <c r="D12">
        <v>9.3377505752837403E-2</v>
      </c>
      <c r="E12">
        <v>3.9946541266529202E-3</v>
      </c>
      <c r="F12">
        <v>4.8636084947795102E-2</v>
      </c>
      <c r="G12">
        <v>1.2480624684291699</v>
      </c>
      <c r="H12">
        <v>9.3467154242268105E-2</v>
      </c>
      <c r="I12">
        <v>7.8762846986488305E-2</v>
      </c>
      <c r="J12">
        <v>4.8743231506251497E-2</v>
      </c>
      <c r="K12">
        <v>1.2541723378213101</v>
      </c>
      <c r="L12">
        <v>9.51981094397856E-2</v>
      </c>
      <c r="M12">
        <v>8.1284926380833303E-2</v>
      </c>
      <c r="N12">
        <v>5.20348424301511E-2</v>
      </c>
      <c r="O12" s="2">
        <f>B2-P12</f>
        <v>774</v>
      </c>
      <c r="P12">
        <v>226</v>
      </c>
      <c r="Q12" s="1">
        <f t="shared" ref="Q12:Q34" si="0">P12/1000</f>
        <v>0.22600000000000001</v>
      </c>
    </row>
    <row r="13" spans="1:17" x14ac:dyDescent="0.25">
      <c r="A13">
        <v>1.33100000000001</v>
      </c>
      <c r="B13">
        <v>0.124178055474673</v>
      </c>
      <c r="C13">
        <v>1.30633158723425</v>
      </c>
      <c r="D13">
        <v>0.11344549667418</v>
      </c>
      <c r="E13">
        <v>5.9233616325354999E-3</v>
      </c>
      <c r="F13">
        <v>4.7858418178441803E-2</v>
      </c>
      <c r="G13">
        <v>1.30700609813449</v>
      </c>
      <c r="H13">
        <v>0.113650039384768</v>
      </c>
      <c r="I13">
        <v>0.10255605087328699</v>
      </c>
      <c r="J13">
        <v>4.8039469216710498E-2</v>
      </c>
      <c r="K13">
        <v>1.31633003003003</v>
      </c>
      <c r="L13">
        <v>0.11628485575231</v>
      </c>
      <c r="M13">
        <v>0.106451057655973</v>
      </c>
      <c r="N13">
        <v>5.2081329392182497E-2</v>
      </c>
      <c r="O13" s="2">
        <f>B2-P13</f>
        <v>623</v>
      </c>
      <c r="P13">
        <v>377</v>
      </c>
      <c r="Q13" s="1">
        <f t="shared" si="0"/>
        <v>0.377</v>
      </c>
    </row>
    <row r="14" spans="1:17" x14ac:dyDescent="0.25">
      <c r="A14">
        <v>1.4641</v>
      </c>
      <c r="B14">
        <v>0.165570740632901</v>
      </c>
      <c r="C14">
        <v>1.3302290748760599</v>
      </c>
      <c r="D14">
        <v>0.12158380735280799</v>
      </c>
      <c r="E14">
        <v>6.1655524684315899E-3</v>
      </c>
      <c r="F14">
        <v>4.5570525841938603E-2</v>
      </c>
      <c r="G14">
        <v>1.33086893014124</v>
      </c>
      <c r="H14">
        <v>0.12177888133643</v>
      </c>
      <c r="I14">
        <v>0.112281844325912</v>
      </c>
      <c r="J14">
        <v>4.5706845035062699E-2</v>
      </c>
      <c r="K14">
        <v>1.3425072538860101</v>
      </c>
      <c r="L14">
        <v>0.12517891487401001</v>
      </c>
      <c r="M14">
        <v>0.117029579503418</v>
      </c>
      <c r="N14">
        <v>4.9352157824107699E-2</v>
      </c>
      <c r="O14" s="2">
        <f>B2-P14</f>
        <v>531</v>
      </c>
      <c r="P14">
        <v>469</v>
      </c>
      <c r="Q14" s="1">
        <f t="shared" si="0"/>
        <v>0.46899999999999997</v>
      </c>
    </row>
    <row r="15" spans="1:17" x14ac:dyDescent="0.25">
      <c r="A15">
        <v>1.6105099999999799</v>
      </c>
      <c r="B15">
        <v>0.206963425791127</v>
      </c>
      <c r="C15">
        <v>1.34633070281032</v>
      </c>
      <c r="D15">
        <v>0.127002550327763</v>
      </c>
      <c r="E15">
        <v>6.5893280762363698E-3</v>
      </c>
      <c r="F15">
        <v>4.3798290562995702E-2</v>
      </c>
      <c r="G15">
        <v>1.34680046427472</v>
      </c>
      <c r="H15">
        <v>0.127146676723359</v>
      </c>
      <c r="I15">
        <v>0.1188726810763</v>
      </c>
      <c r="J15">
        <v>4.3876345681611202E-2</v>
      </c>
      <c r="K15">
        <v>1.36004494382022</v>
      </c>
      <c r="L15">
        <v>0.131076836334379</v>
      </c>
      <c r="M15">
        <v>0.12420646107666999</v>
      </c>
      <c r="N15">
        <v>4.7101743781401001E-2</v>
      </c>
      <c r="O15" s="2">
        <f>B2-P15</f>
        <v>487</v>
      </c>
      <c r="P15">
        <v>513</v>
      </c>
      <c r="Q15" s="1">
        <f t="shared" si="0"/>
        <v>0.51300000000000001</v>
      </c>
    </row>
    <row r="16" spans="1:17" x14ac:dyDescent="0.25">
      <c r="A16">
        <v>1.7715610000000099</v>
      </c>
      <c r="B16">
        <v>0.24835611094934901</v>
      </c>
      <c r="C16">
        <v>1.3621458471171299</v>
      </c>
      <c r="D16">
        <v>0.13232170012455399</v>
      </c>
      <c r="E16">
        <v>7.3205860886644799E-3</v>
      </c>
      <c r="F16">
        <v>4.1329716308364503E-2</v>
      </c>
      <c r="G16">
        <v>1.36243478556794</v>
      </c>
      <c r="H16">
        <v>0.132411830743073</v>
      </c>
      <c r="I16">
        <v>0.12533430000817</v>
      </c>
      <c r="J16">
        <v>4.1354174023725598E-2</v>
      </c>
      <c r="K16">
        <v>1.37650069605568</v>
      </c>
      <c r="L16">
        <v>0.13656704940834399</v>
      </c>
      <c r="M16">
        <v>0.131005342727607</v>
      </c>
      <c r="N16">
        <v>4.4652275202766697E-2</v>
      </c>
      <c r="O16" s="2">
        <f>B2-P16</f>
        <v>403</v>
      </c>
      <c r="P16">
        <v>597</v>
      </c>
      <c r="Q16" s="1">
        <f t="shared" si="0"/>
        <v>0.59699999999999998</v>
      </c>
    </row>
    <row r="17" spans="1:17" x14ac:dyDescent="0.25">
      <c r="A17">
        <v>1.9487170999999801</v>
      </c>
      <c r="B17">
        <v>0.28974879610757398</v>
      </c>
      <c r="C17">
        <v>1.3825341397649999</v>
      </c>
      <c r="D17">
        <v>0.13920447763296601</v>
      </c>
      <c r="E17">
        <v>8.5335477445438093E-3</v>
      </c>
      <c r="F17">
        <v>3.6474324945925299E-2</v>
      </c>
      <c r="G17">
        <v>1.38320589848742</v>
      </c>
      <c r="H17">
        <v>0.139408945708964</v>
      </c>
      <c r="I17">
        <v>0.13392713220320099</v>
      </c>
      <c r="J17">
        <v>3.65587038798438E-2</v>
      </c>
      <c r="K17">
        <v>1.39925160493826</v>
      </c>
      <c r="L17">
        <v>0.14421007100803901</v>
      </c>
      <c r="M17">
        <v>0.14032757744690999</v>
      </c>
      <c r="N17">
        <v>3.9135792176120801E-2</v>
      </c>
      <c r="O17" s="2">
        <f>B2-P17</f>
        <v>387</v>
      </c>
      <c r="P17">
        <v>613</v>
      </c>
      <c r="Q17" s="1">
        <f t="shared" si="0"/>
        <v>0.61299999999999999</v>
      </c>
    </row>
    <row r="18" spans="1:17" x14ac:dyDescent="0.25">
      <c r="A18">
        <v>2.14358880999999</v>
      </c>
      <c r="B18">
        <v>0.33114148126580201</v>
      </c>
      <c r="C18">
        <v>1.3857420398795599</v>
      </c>
      <c r="D18">
        <v>0.14021926203420901</v>
      </c>
      <c r="E18">
        <v>7.9584788827810095E-3</v>
      </c>
      <c r="F18">
        <v>3.6452148822945001E-2</v>
      </c>
      <c r="G18">
        <v>1.38667247840329</v>
      </c>
      <c r="H18">
        <v>0.14050183429843599</v>
      </c>
      <c r="I18">
        <v>0.135480091529809</v>
      </c>
      <c r="J18">
        <v>3.65681027528462E-2</v>
      </c>
      <c r="K18">
        <v>1.40272801120447</v>
      </c>
      <c r="L18">
        <v>0.145280208692594</v>
      </c>
      <c r="M18">
        <v>0.14189637234729299</v>
      </c>
      <c r="N18">
        <v>3.9318502966349499E-2</v>
      </c>
      <c r="O18" s="2">
        <f>B2-P18</f>
        <v>328</v>
      </c>
      <c r="P18">
        <v>672</v>
      </c>
      <c r="Q18" s="1">
        <f t="shared" si="0"/>
        <v>0.67200000000000004</v>
      </c>
    </row>
    <row r="19" spans="1:17" x14ac:dyDescent="0.25">
      <c r="A19">
        <v>2.3579476910000099</v>
      </c>
      <c r="B19">
        <v>0.37253416642402798</v>
      </c>
      <c r="C19">
        <v>1.3974419308858499</v>
      </c>
      <c r="D19">
        <v>0.144132732463501</v>
      </c>
      <c r="E19">
        <v>9.2771848975324294E-3</v>
      </c>
      <c r="F19">
        <v>3.3094093953518901E-2</v>
      </c>
      <c r="G19">
        <v>1.3980543404186201</v>
      </c>
      <c r="H19">
        <v>0.14431939265739499</v>
      </c>
      <c r="I19">
        <v>0.140218215919127</v>
      </c>
      <c r="J19">
        <v>3.3148044664635702E-2</v>
      </c>
      <c r="K19">
        <v>1.4152691394658601</v>
      </c>
      <c r="L19">
        <v>0.14948040901353099</v>
      </c>
      <c r="M19">
        <v>0.14705419282461701</v>
      </c>
      <c r="N19">
        <v>3.5279102197392803E-2</v>
      </c>
      <c r="O19" s="2">
        <f>B2-P19</f>
        <v>314</v>
      </c>
      <c r="P19">
        <v>686</v>
      </c>
      <c r="Q19" s="1">
        <f t="shared" si="0"/>
        <v>0.68600000000000005</v>
      </c>
    </row>
    <row r="20" spans="1:17" x14ac:dyDescent="0.25">
      <c r="A20">
        <v>2.5937424600999801</v>
      </c>
      <c r="B20">
        <v>0.41392685158224901</v>
      </c>
      <c r="C20">
        <v>1.40397173634075</v>
      </c>
      <c r="D20">
        <v>0.14630853080091799</v>
      </c>
      <c r="E20">
        <v>8.5624811765504707E-3</v>
      </c>
      <c r="F20">
        <v>3.0975866290494501E-2</v>
      </c>
      <c r="G20">
        <v>1.40443319163384</v>
      </c>
      <c r="H20">
        <v>0.146450336753357</v>
      </c>
      <c r="I20">
        <v>0.14288363557801401</v>
      </c>
      <c r="J20">
        <v>3.0993609086292E-2</v>
      </c>
      <c r="K20">
        <v>1.42205241157555</v>
      </c>
      <c r="L20">
        <v>0.15172881376326899</v>
      </c>
      <c r="M20">
        <v>0.14987853289592801</v>
      </c>
      <c r="N20">
        <v>3.3015682835325397E-2</v>
      </c>
      <c r="O20" s="2">
        <f>B2-P20</f>
        <v>261</v>
      </c>
      <c r="P20">
        <v>739</v>
      </c>
      <c r="Q20" s="1">
        <f t="shared" si="0"/>
        <v>0.73899999999999999</v>
      </c>
    </row>
    <row r="21" spans="1:17" x14ac:dyDescent="0.25">
      <c r="A21">
        <v>2.85311670610999</v>
      </c>
      <c r="B21">
        <v>0.45531953674047598</v>
      </c>
      <c r="C21">
        <v>1.40014522997429</v>
      </c>
      <c r="D21">
        <v>0.145060143950593</v>
      </c>
      <c r="E21">
        <v>8.6968005689665503E-3</v>
      </c>
      <c r="F21">
        <v>3.1833830805589998E-2</v>
      </c>
      <c r="G21">
        <v>1.40011063021847</v>
      </c>
      <c r="H21">
        <v>0.14505286964581501</v>
      </c>
      <c r="I21">
        <v>0.14100494189756499</v>
      </c>
      <c r="J21">
        <v>3.1787213003982698E-2</v>
      </c>
      <c r="K21">
        <v>1.4178359589041001</v>
      </c>
      <c r="L21">
        <v>0.150402873126291</v>
      </c>
      <c r="M21">
        <v>0.14801711847124099</v>
      </c>
      <c r="N21">
        <v>3.3428356293407298E-2</v>
      </c>
      <c r="O21" s="2">
        <f>B2-P21</f>
        <v>244</v>
      </c>
      <c r="P21">
        <v>756</v>
      </c>
      <c r="Q21" s="1">
        <f t="shared" si="0"/>
        <v>0.75600000000000001</v>
      </c>
    </row>
    <row r="22" spans="1:17" x14ac:dyDescent="0.25">
      <c r="A22">
        <v>3.13842837672098</v>
      </c>
      <c r="B22">
        <v>0.49671222189870301</v>
      </c>
      <c r="C22">
        <v>1.39464867272591</v>
      </c>
      <c r="D22">
        <v>0.14327186050506799</v>
      </c>
      <c r="E22">
        <v>8.7892499552039809E-3</v>
      </c>
      <c r="F22">
        <v>3.2917530788973901E-2</v>
      </c>
      <c r="G22">
        <v>1.39545635556991</v>
      </c>
      <c r="H22">
        <v>0.14351732736884801</v>
      </c>
      <c r="I22">
        <v>0.139024239836844</v>
      </c>
      <c r="J22">
        <v>3.3004332148086298E-2</v>
      </c>
      <c r="K22">
        <v>1.4125124999999901</v>
      </c>
      <c r="L22">
        <v>0.148637369431808</v>
      </c>
      <c r="M22">
        <v>0.14580203563119701</v>
      </c>
      <c r="N22">
        <v>3.5165324591119901E-2</v>
      </c>
      <c r="O22" s="2">
        <f>B2-P22</f>
        <v>212</v>
      </c>
      <c r="P22">
        <v>788</v>
      </c>
      <c r="Q22" s="1">
        <f t="shared" si="0"/>
        <v>0.78800000000000003</v>
      </c>
    </row>
    <row r="23" spans="1:17" x14ac:dyDescent="0.25">
      <c r="A23">
        <v>3.45227121439311</v>
      </c>
      <c r="B23">
        <v>0.53810490705692204</v>
      </c>
      <c r="C23">
        <v>1.4009171304824299</v>
      </c>
      <c r="D23">
        <v>0.14532608519860299</v>
      </c>
      <c r="E23">
        <v>9.0708370311164202E-3</v>
      </c>
      <c r="F23">
        <v>3.1450018633356398E-2</v>
      </c>
      <c r="G23">
        <v>1.4009651972388499</v>
      </c>
      <c r="H23">
        <v>0.14534370655453199</v>
      </c>
      <c r="I23">
        <v>0.141350240569352</v>
      </c>
      <c r="J23">
        <v>3.1413488071740901E-2</v>
      </c>
      <c r="K23">
        <v>1.41843358208954</v>
      </c>
      <c r="L23">
        <v>0.150589059810707</v>
      </c>
      <c r="M23">
        <v>0.14828352749113699</v>
      </c>
      <c r="N23">
        <v>3.3404694921875602E-2</v>
      </c>
      <c r="O23" s="2">
        <f>B2-P23</f>
        <v>194</v>
      </c>
      <c r="P23">
        <v>806</v>
      </c>
      <c r="Q23" s="1">
        <f t="shared" si="0"/>
        <v>0.80600000000000005</v>
      </c>
    </row>
    <row r="24" spans="1:17" x14ac:dyDescent="0.25">
      <c r="A24">
        <v>3.7974983358324099</v>
      </c>
      <c r="B24">
        <v>0.57949759221514796</v>
      </c>
      <c r="C24">
        <v>1.4076758854554401</v>
      </c>
      <c r="D24">
        <v>0.147535788995909</v>
      </c>
      <c r="E24">
        <v>8.2764314746988296E-3</v>
      </c>
      <c r="F24">
        <v>2.9769299466616699E-2</v>
      </c>
      <c r="G24">
        <v>1.4081958546149</v>
      </c>
      <c r="H24">
        <v>0.14769504250797999</v>
      </c>
      <c r="I24">
        <v>0.14447516178629299</v>
      </c>
      <c r="J24">
        <v>2.9791587003961398E-2</v>
      </c>
      <c r="K24">
        <v>1.4259341772151799</v>
      </c>
      <c r="L24">
        <v>0.15299574767344001</v>
      </c>
      <c r="M24">
        <v>0.15152391009649099</v>
      </c>
      <c r="N24">
        <v>3.1895386079574102E-2</v>
      </c>
      <c r="O24" s="2">
        <f>B2-P24</f>
        <v>221</v>
      </c>
      <c r="P24">
        <v>779</v>
      </c>
      <c r="Q24" s="1">
        <f t="shared" si="0"/>
        <v>0.77900000000000003</v>
      </c>
    </row>
    <row r="25" spans="1:17" x14ac:dyDescent="0.25">
      <c r="A25">
        <v>4.1772481694156403</v>
      </c>
      <c r="B25">
        <v>0.62089027737337599</v>
      </c>
      <c r="C25">
        <v>1.41877716838462</v>
      </c>
      <c r="D25">
        <v>0.151263204641365</v>
      </c>
      <c r="E25">
        <v>9.3093816068989706E-3</v>
      </c>
      <c r="F25">
        <v>2.4456909020564299E-2</v>
      </c>
      <c r="G25">
        <v>1.41977655140981</v>
      </c>
      <c r="H25">
        <v>0.151566550454168</v>
      </c>
      <c r="I25">
        <v>0.14931381909431801</v>
      </c>
      <c r="J25">
        <v>2.4508684597709499E-2</v>
      </c>
      <c r="K25">
        <v>1.4384958525345499</v>
      </c>
      <c r="L25">
        <v>0.157177753780541</v>
      </c>
      <c r="M25">
        <v>0.156727210099664</v>
      </c>
      <c r="N25">
        <v>2.5978031015114499E-2</v>
      </c>
      <c r="O25" s="2">
        <f>B2-P25</f>
        <v>215</v>
      </c>
      <c r="P25">
        <v>785</v>
      </c>
      <c r="Q25" s="1">
        <f t="shared" si="0"/>
        <v>0.78500000000000003</v>
      </c>
    </row>
    <row r="26" spans="1:17" x14ac:dyDescent="0.25">
      <c r="A26">
        <v>4.5949729863572202</v>
      </c>
      <c r="B26">
        <v>0.66228296253160202</v>
      </c>
      <c r="C26">
        <v>1.42106122318936</v>
      </c>
      <c r="D26">
        <v>0.152034236882468</v>
      </c>
      <c r="E26">
        <v>9.9551903064792908E-3</v>
      </c>
      <c r="F26">
        <v>2.3073184677700899E-2</v>
      </c>
      <c r="G26">
        <v>1.4223365877548599</v>
      </c>
      <c r="H26">
        <v>0.15241996892460499</v>
      </c>
      <c r="I26">
        <v>0.150387679796124</v>
      </c>
      <c r="J26">
        <v>2.31558879819318E-2</v>
      </c>
      <c r="K26">
        <v>1.4413005813953499</v>
      </c>
      <c r="L26">
        <v>0.15811043109856901</v>
      </c>
      <c r="M26">
        <v>0.15789056118664499</v>
      </c>
      <c r="N26">
        <v>2.4398634493913201E-2</v>
      </c>
      <c r="O26" s="2">
        <f>B2-P26</f>
        <v>192</v>
      </c>
      <c r="P26">
        <v>808</v>
      </c>
      <c r="Q26" s="1">
        <f t="shared" si="0"/>
        <v>0.80800000000000005</v>
      </c>
    </row>
    <row r="27" spans="1:17" x14ac:dyDescent="0.25">
      <c r="A27">
        <v>5.0544702849929299</v>
      </c>
      <c r="B27">
        <v>0.70367564768982405</v>
      </c>
      <c r="C27">
        <v>1.4193028376764401</v>
      </c>
      <c r="D27">
        <v>0.15146420046158399</v>
      </c>
      <c r="E27">
        <v>9.3650009768683398E-3</v>
      </c>
      <c r="F27">
        <v>2.3663014365506899E-2</v>
      </c>
      <c r="G27">
        <v>1.4202739300731</v>
      </c>
      <c r="H27">
        <v>0.15175882441905</v>
      </c>
      <c r="I27">
        <v>0.149482453850906</v>
      </c>
      <c r="J27">
        <v>2.3715354404257701E-2</v>
      </c>
      <c r="K27">
        <v>1.43934153846153</v>
      </c>
      <c r="L27">
        <v>0.15750447378155399</v>
      </c>
      <c r="M27">
        <v>0.157010799236983</v>
      </c>
      <c r="N27">
        <v>2.4613227140396699E-2</v>
      </c>
      <c r="O27" s="2">
        <f>B2-P27</f>
        <v>171</v>
      </c>
      <c r="P27">
        <v>829</v>
      </c>
      <c r="Q27" s="1">
        <f t="shared" si="0"/>
        <v>0.82899999999999996</v>
      </c>
    </row>
    <row r="28" spans="1:17" x14ac:dyDescent="0.25">
      <c r="A28">
        <v>5.5599173134922601</v>
      </c>
      <c r="B28">
        <v>0.74506833284804996</v>
      </c>
      <c r="C28">
        <v>1.4096210793766399</v>
      </c>
      <c r="D28">
        <v>0.14821895385144099</v>
      </c>
      <c r="E28">
        <v>9.7120214097898803E-3</v>
      </c>
      <c r="F28">
        <v>2.84555904517735E-2</v>
      </c>
      <c r="G28">
        <v>1.41038796188884</v>
      </c>
      <c r="H28">
        <v>0.14845230915205801</v>
      </c>
      <c r="I28">
        <v>0.14535206788332</v>
      </c>
      <c r="J28">
        <v>2.8506034549124998E-2</v>
      </c>
      <c r="K28">
        <v>1.42838666666666</v>
      </c>
      <c r="L28">
        <v>0.153842813171403</v>
      </c>
      <c r="M28">
        <v>0.15249461187397001</v>
      </c>
      <c r="N28">
        <v>3.03999748083085E-2</v>
      </c>
      <c r="O28" s="2">
        <f>B2-P28</f>
        <v>175</v>
      </c>
      <c r="P28">
        <v>825</v>
      </c>
      <c r="Q28" s="1">
        <f t="shared" si="0"/>
        <v>0.82499999999999996</v>
      </c>
    </row>
    <row r="29" spans="1:17" x14ac:dyDescent="0.25">
      <c r="A29">
        <v>6.1159090448414801</v>
      </c>
      <c r="B29">
        <v>0.78646101800627699</v>
      </c>
      <c r="C29">
        <v>1.4305805269168701</v>
      </c>
      <c r="D29">
        <v>0.155172032119752</v>
      </c>
      <c r="E29">
        <v>9.8522148837967803E-3</v>
      </c>
      <c r="F29">
        <v>1.7717348171142899E-2</v>
      </c>
      <c r="G29">
        <v>1.43137518800283</v>
      </c>
      <c r="H29">
        <v>0.15541391479067601</v>
      </c>
      <c r="I29">
        <v>0.15420809540653199</v>
      </c>
      <c r="J29">
        <v>1.77048440946318E-2</v>
      </c>
      <c r="K29">
        <v>1.45098516129032</v>
      </c>
      <c r="L29">
        <v>0.161297947326245</v>
      </c>
      <c r="M29">
        <v>0.16195623585402699</v>
      </c>
      <c r="N29">
        <v>1.8375156523414499E-2</v>
      </c>
      <c r="O29" s="2">
        <f>B2-P29</f>
        <v>117</v>
      </c>
      <c r="P29">
        <v>883</v>
      </c>
      <c r="Q29" s="1">
        <f t="shared" si="0"/>
        <v>0.88300000000000001</v>
      </c>
    </row>
    <row r="30" spans="1:17" x14ac:dyDescent="0.25">
      <c r="A30">
        <v>6.7274999493256198</v>
      </c>
      <c r="B30">
        <v>0.82785370316450202</v>
      </c>
      <c r="C30">
        <v>1.4130608762388699</v>
      </c>
      <c r="D30">
        <v>0.149345818408958</v>
      </c>
      <c r="E30">
        <v>9.0618654266406799E-3</v>
      </c>
      <c r="F30">
        <v>2.7342826773034599E-2</v>
      </c>
      <c r="G30">
        <v>1.41311289678917</v>
      </c>
      <c r="H30">
        <v>0.14936465872542401</v>
      </c>
      <c r="I30">
        <v>0.14648911340137999</v>
      </c>
      <c r="J30">
        <v>2.7298537253282702E-2</v>
      </c>
      <c r="K30">
        <v>1.43141705882353</v>
      </c>
      <c r="L30">
        <v>0.15485733976841801</v>
      </c>
      <c r="M30">
        <v>0.15374151103726399</v>
      </c>
      <c r="N30">
        <v>2.8940177972142898E-2</v>
      </c>
      <c r="O30" s="2">
        <f>B2-P30</f>
        <v>159</v>
      </c>
      <c r="P30">
        <v>841</v>
      </c>
      <c r="Q30" s="1">
        <f t="shared" si="0"/>
        <v>0.84099999999999997</v>
      </c>
    </row>
    <row r="31" spans="1:17" x14ac:dyDescent="0.25">
      <c r="A31">
        <v>7.4002499442581398</v>
      </c>
      <c r="B31">
        <v>0.86924638832272405</v>
      </c>
      <c r="C31">
        <v>1.42342356181466</v>
      </c>
      <c r="D31">
        <v>0.152825205433648</v>
      </c>
      <c r="E31">
        <v>9.2322466038847195E-3</v>
      </c>
      <c r="F31">
        <v>2.1630939439392101E-2</v>
      </c>
      <c r="G31">
        <v>1.4245574700977199</v>
      </c>
      <c r="H31">
        <v>0.15316918043451999</v>
      </c>
      <c r="I31">
        <v>0.15130589357942001</v>
      </c>
      <c r="J31">
        <v>2.1676075330566799E-2</v>
      </c>
      <c r="K31">
        <v>1.4438343558282201</v>
      </c>
      <c r="L31">
        <v>0.15896822643588299</v>
      </c>
      <c r="M31">
        <v>0.158919049258957</v>
      </c>
      <c r="N31">
        <v>2.2496740151089802E-2</v>
      </c>
      <c r="O31" s="2">
        <f>B2-P31</f>
        <v>131</v>
      </c>
      <c r="P31">
        <v>869</v>
      </c>
      <c r="Q31" s="1">
        <f t="shared" si="0"/>
        <v>0.86899999999999999</v>
      </c>
    </row>
    <row r="32" spans="1:17" x14ac:dyDescent="0.25">
      <c r="A32">
        <v>8.1402749386839801</v>
      </c>
      <c r="B32">
        <v>0.91063907348095097</v>
      </c>
      <c r="C32">
        <v>1.4233723655302299</v>
      </c>
      <c r="D32">
        <v>0.15273940587030799</v>
      </c>
      <c r="E32">
        <v>9.9729254699069299E-3</v>
      </c>
      <c r="F32">
        <v>2.3172752399879398E-2</v>
      </c>
      <c r="G32">
        <v>1.42429423583602</v>
      </c>
      <c r="H32">
        <v>0.15301937684147601</v>
      </c>
      <c r="I32">
        <v>0.15128925663064899</v>
      </c>
      <c r="J32">
        <v>2.3202644298803601E-2</v>
      </c>
      <c r="K32">
        <v>1.4428408163265301</v>
      </c>
      <c r="L32">
        <v>0.158531168327079</v>
      </c>
      <c r="M32">
        <v>0.15866446418713201</v>
      </c>
      <c r="N32">
        <v>2.53473457432523E-2</v>
      </c>
      <c r="O32" s="2">
        <f>B2-P32</f>
        <v>126</v>
      </c>
      <c r="P32">
        <v>874</v>
      </c>
      <c r="Q32" s="1">
        <f t="shared" si="0"/>
        <v>0.874</v>
      </c>
    </row>
    <row r="33" spans="1:17" x14ac:dyDescent="0.25">
      <c r="A33">
        <v>8.9543024325523692</v>
      </c>
      <c r="B33">
        <v>0.95203175863917799</v>
      </c>
      <c r="C33">
        <v>1.4123525568231901</v>
      </c>
      <c r="D33">
        <v>0.14916420959690099</v>
      </c>
      <c r="E33">
        <v>9.7393040712819099E-3</v>
      </c>
      <c r="F33">
        <v>2.6741368306736901E-2</v>
      </c>
      <c r="G33">
        <v>1.4137449219065199</v>
      </c>
      <c r="H33">
        <v>0.14958553288604301</v>
      </c>
      <c r="I33">
        <v>0.14673884219393199</v>
      </c>
      <c r="J33">
        <v>2.6860306422104401E-2</v>
      </c>
      <c r="K33">
        <v>1.4322251908396899</v>
      </c>
      <c r="L33">
        <v>0.155143575669378</v>
      </c>
      <c r="M33">
        <v>0.15405086496615999</v>
      </c>
      <c r="N33">
        <v>2.8281330723754002E-2</v>
      </c>
      <c r="O33" s="2">
        <f>B2-P33</f>
        <v>124</v>
      </c>
      <c r="P33">
        <v>876</v>
      </c>
      <c r="Q33" s="1">
        <f t="shared" si="0"/>
        <v>0.876</v>
      </c>
    </row>
    <row r="34" spans="1:17" x14ac:dyDescent="0.25">
      <c r="A34">
        <v>9.8497326758076493</v>
      </c>
      <c r="B34">
        <v>0.99342444379740502</v>
      </c>
      <c r="C34">
        <v>1.42216931678255</v>
      </c>
      <c r="D34">
        <v>0.15240663268056301</v>
      </c>
      <c r="E34">
        <v>9.9169322791065693E-3</v>
      </c>
      <c r="F34">
        <v>2.2382065487256901E-2</v>
      </c>
      <c r="G34">
        <v>1.42311365360747</v>
      </c>
      <c r="H34">
        <v>0.15269380369926</v>
      </c>
      <c r="I34">
        <v>0.15069128222202</v>
      </c>
      <c r="J34">
        <v>2.2409844618738E-2</v>
      </c>
      <c r="K34">
        <v>1.44232</v>
      </c>
      <c r="L34">
        <v>0.15847485174863299</v>
      </c>
      <c r="M34">
        <v>0.15827585161555699</v>
      </c>
      <c r="N34">
        <v>2.3258290235922699E-2</v>
      </c>
      <c r="O34" s="2">
        <f>B2-P34</f>
        <v>120</v>
      </c>
      <c r="P34">
        <v>880</v>
      </c>
      <c r="Q34" s="1">
        <f t="shared" si="0"/>
        <v>0.88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4.1392685158224703E-2</v>
      </c>
      <c r="B37" s="1">
        <f>$D11</f>
        <v>6.7961782425151496E-2</v>
      </c>
      <c r="C37" s="1">
        <f t="shared" ref="C37:C60" si="1">B37-$E11</f>
        <v>6.5517183729584774E-2</v>
      </c>
      <c r="D37" s="1">
        <f t="shared" ref="D37:D60" si="2">B37+$E11</f>
        <v>7.0406381120718217E-2</v>
      </c>
      <c r="E37" s="1">
        <f>$B37-$F11</f>
        <v>2.0505260203626093E-2</v>
      </c>
      <c r="F37" s="1">
        <f>$B37+$F11</f>
        <v>0.11541830464667691</v>
      </c>
      <c r="G37" s="1">
        <f>$H11</f>
        <v>6.7975859965487204E-2</v>
      </c>
      <c r="H37" s="1">
        <f>$G37-$I11</f>
        <v>1.6042967528712503E-2</v>
      </c>
      <c r="I37" s="1">
        <f>$G37+$I11</f>
        <v>0.1199087524022619</v>
      </c>
      <c r="J37" s="1">
        <f>$G37-$J11</f>
        <v>2.0505582329008704E-2</v>
      </c>
      <c r="K37" s="1">
        <f>$G37+$J11</f>
        <v>0.1154461376019657</v>
      </c>
      <c r="L37" s="1">
        <f>$L11</f>
        <v>7.2314669549837104E-2</v>
      </c>
      <c r="M37" s="1">
        <f>$L37-$M11</f>
        <v>1.6770677225848504E-2</v>
      </c>
      <c r="N37" s="1">
        <f>$L37+$M11</f>
        <v>0.12785866187382572</v>
      </c>
      <c r="O37" s="1">
        <f>$L37-$N11</f>
        <v>2.5214624361712804E-2</v>
      </c>
      <c r="P37" s="1">
        <f>$L37+$N11</f>
        <v>0.11941471473796141</v>
      </c>
    </row>
    <row r="38" spans="1:17" x14ac:dyDescent="0.25">
      <c r="A38" s="1">
        <f t="shared" ref="A38:A60" si="3">$B12</f>
        <v>8.2785370316450196E-2</v>
      </c>
      <c r="B38" s="1">
        <f t="shared" ref="B38:B60" si="4">$D12</f>
        <v>9.3377505752837403E-2</v>
      </c>
      <c r="C38" s="1">
        <f t="shared" si="1"/>
        <v>8.9382851626184479E-2</v>
      </c>
      <c r="D38" s="1">
        <f t="shared" si="2"/>
        <v>9.7372159879490328E-2</v>
      </c>
      <c r="E38" s="1">
        <f t="shared" ref="E38:E60" si="5">$B38-$F12</f>
        <v>4.4741420805042301E-2</v>
      </c>
      <c r="F38" s="1">
        <f t="shared" ref="F38:F60" si="6">$B38+$F12</f>
        <v>0.14201359070063252</v>
      </c>
      <c r="G38" s="1">
        <f t="shared" ref="G38:G60" si="7">$H12</f>
        <v>9.3467154242268105E-2</v>
      </c>
      <c r="H38" s="1">
        <f t="shared" ref="H38:H60" si="8">$G38-$I12</f>
        <v>1.47043072557798E-2</v>
      </c>
      <c r="I38" s="1">
        <f t="shared" ref="I38:I60" si="9">$G38+$I12</f>
        <v>0.17223000122875642</v>
      </c>
      <c r="J38" s="1">
        <f t="shared" ref="J38:J60" si="10">$G38-$J12</f>
        <v>4.4723922736016608E-2</v>
      </c>
      <c r="K38" s="1">
        <f t="shared" ref="K38:K60" si="11">$G38+$J12</f>
        <v>0.1422103857485196</v>
      </c>
      <c r="L38" s="1">
        <f t="shared" ref="L38:L60" si="12">$L12</f>
        <v>9.51981094397856E-2</v>
      </c>
      <c r="M38" s="1">
        <f t="shared" ref="M38:M60" si="13">$L38-$M12</f>
        <v>1.3913183058952297E-2</v>
      </c>
      <c r="N38" s="1">
        <f t="shared" ref="N38:N60" si="14">$L38+$M12</f>
        <v>0.17648303582061892</v>
      </c>
      <c r="O38" s="1">
        <f t="shared" ref="O38:O60" si="15">$L38-$N12</f>
        <v>4.31632670096345E-2</v>
      </c>
      <c r="P38" s="1">
        <f t="shared" ref="P38:P60" si="16">$L38+$N12</f>
        <v>0.14723295186993671</v>
      </c>
    </row>
    <row r="39" spans="1:17" x14ac:dyDescent="0.25">
      <c r="A39" s="1">
        <f t="shared" si="3"/>
        <v>0.124178055474673</v>
      </c>
      <c r="B39" s="1">
        <f t="shared" si="4"/>
        <v>0.11344549667418</v>
      </c>
      <c r="C39" s="1">
        <f t="shared" si="1"/>
        <v>0.1075221350416445</v>
      </c>
      <c r="D39" s="1">
        <f t="shared" si="2"/>
        <v>0.11936885830671549</v>
      </c>
      <c r="E39" s="1">
        <f t="shared" si="5"/>
        <v>6.5587078495738194E-2</v>
      </c>
      <c r="F39" s="1">
        <f t="shared" si="6"/>
        <v>0.1613039148526218</v>
      </c>
      <c r="G39" s="1">
        <f t="shared" si="7"/>
        <v>0.113650039384768</v>
      </c>
      <c r="H39" s="1">
        <f t="shared" si="8"/>
        <v>1.1093988511481009E-2</v>
      </c>
      <c r="I39" s="1">
        <f t="shared" si="9"/>
        <v>0.21620609025805498</v>
      </c>
      <c r="J39" s="1">
        <f t="shared" si="10"/>
        <v>6.5610570168057505E-2</v>
      </c>
      <c r="K39" s="1">
        <f t="shared" si="11"/>
        <v>0.16168950860147852</v>
      </c>
      <c r="L39" s="1">
        <f t="shared" si="12"/>
        <v>0.11628485575231</v>
      </c>
      <c r="M39" s="1">
        <f t="shared" si="13"/>
        <v>9.8337980963369986E-3</v>
      </c>
      <c r="N39" s="1">
        <f t="shared" si="14"/>
        <v>0.222735913408283</v>
      </c>
      <c r="O39" s="1">
        <f t="shared" si="15"/>
        <v>6.4203526360127494E-2</v>
      </c>
      <c r="P39" s="1">
        <f t="shared" si="16"/>
        <v>0.1683661851444925</v>
      </c>
    </row>
    <row r="40" spans="1:17" x14ac:dyDescent="0.25">
      <c r="A40" s="1">
        <f t="shared" si="3"/>
        <v>0.165570740632901</v>
      </c>
      <c r="B40" s="1">
        <f t="shared" si="4"/>
        <v>0.12158380735280799</v>
      </c>
      <c r="C40" s="1">
        <f t="shared" si="1"/>
        <v>0.1154182548843764</v>
      </c>
      <c r="D40" s="1">
        <f t="shared" si="2"/>
        <v>0.12774935982123958</v>
      </c>
      <c r="E40" s="1">
        <f t="shared" si="5"/>
        <v>7.601328151086939E-2</v>
      </c>
      <c r="F40" s="1">
        <f t="shared" si="6"/>
        <v>0.1671543331947466</v>
      </c>
      <c r="G40" s="1">
        <f t="shared" si="7"/>
        <v>0.12177888133643</v>
      </c>
      <c r="H40" s="1">
        <f t="shared" si="8"/>
        <v>9.497037010518003E-3</v>
      </c>
      <c r="I40" s="1">
        <f t="shared" si="9"/>
        <v>0.23406072566234198</v>
      </c>
      <c r="J40" s="1">
        <f t="shared" si="10"/>
        <v>7.6072036301367302E-2</v>
      </c>
      <c r="K40" s="1">
        <f t="shared" si="11"/>
        <v>0.1674857263714927</v>
      </c>
      <c r="L40" s="1">
        <f t="shared" si="12"/>
        <v>0.12517891487401001</v>
      </c>
      <c r="M40" s="1">
        <f t="shared" si="13"/>
        <v>8.1493353705920091E-3</v>
      </c>
      <c r="N40" s="1">
        <f t="shared" si="14"/>
        <v>0.242208494377428</v>
      </c>
      <c r="O40" s="1">
        <f t="shared" si="15"/>
        <v>7.5826757049902299E-2</v>
      </c>
      <c r="P40" s="1">
        <f t="shared" si="16"/>
        <v>0.17453107269811771</v>
      </c>
    </row>
    <row r="41" spans="1:17" x14ac:dyDescent="0.25">
      <c r="A41" s="1">
        <f t="shared" si="3"/>
        <v>0.206963425791127</v>
      </c>
      <c r="B41" s="1">
        <f t="shared" si="4"/>
        <v>0.127002550327763</v>
      </c>
      <c r="C41" s="1">
        <f t="shared" si="1"/>
        <v>0.12041322225152663</v>
      </c>
      <c r="D41" s="1">
        <f t="shared" si="2"/>
        <v>0.13359187840399939</v>
      </c>
      <c r="E41" s="1">
        <f t="shared" si="5"/>
        <v>8.3204259764767308E-2</v>
      </c>
      <c r="F41" s="1">
        <f t="shared" si="6"/>
        <v>0.1708008408907587</v>
      </c>
      <c r="G41" s="1">
        <f t="shared" si="7"/>
        <v>0.127146676723359</v>
      </c>
      <c r="H41" s="1">
        <f t="shared" si="8"/>
        <v>8.2739956470589959E-3</v>
      </c>
      <c r="I41" s="1">
        <f t="shared" si="9"/>
        <v>0.246019357799659</v>
      </c>
      <c r="J41" s="1">
        <f t="shared" si="10"/>
        <v>8.3270331041747803E-2</v>
      </c>
      <c r="K41" s="1">
        <f t="shared" si="11"/>
        <v>0.17102302240497019</v>
      </c>
      <c r="L41" s="1">
        <f t="shared" si="12"/>
        <v>0.131076836334379</v>
      </c>
      <c r="M41" s="1">
        <f t="shared" si="13"/>
        <v>6.8703752577090049E-3</v>
      </c>
      <c r="N41" s="1">
        <f t="shared" si="14"/>
        <v>0.25528329741104899</v>
      </c>
      <c r="O41" s="1">
        <f t="shared" si="15"/>
        <v>8.3975092552977998E-2</v>
      </c>
      <c r="P41" s="1">
        <f t="shared" si="16"/>
        <v>0.17817858011578</v>
      </c>
    </row>
    <row r="42" spans="1:17" x14ac:dyDescent="0.25">
      <c r="A42" s="1">
        <f t="shared" si="3"/>
        <v>0.24835611094934901</v>
      </c>
      <c r="B42" s="1">
        <f t="shared" si="4"/>
        <v>0.13232170012455399</v>
      </c>
      <c r="C42" s="1">
        <f t="shared" si="1"/>
        <v>0.12500111403588951</v>
      </c>
      <c r="D42" s="1">
        <f t="shared" si="2"/>
        <v>0.13964228621321848</v>
      </c>
      <c r="E42" s="1">
        <f t="shared" si="5"/>
        <v>9.0991983816189489E-2</v>
      </c>
      <c r="F42" s="1">
        <f t="shared" si="6"/>
        <v>0.17365141643291848</v>
      </c>
      <c r="G42" s="1">
        <f t="shared" si="7"/>
        <v>0.132411830743073</v>
      </c>
      <c r="H42" s="1">
        <f t="shared" si="8"/>
        <v>7.0775307349029981E-3</v>
      </c>
      <c r="I42" s="1">
        <f t="shared" si="9"/>
        <v>0.25774613075124297</v>
      </c>
      <c r="J42" s="1">
        <f t="shared" si="10"/>
        <v>9.1057656719347402E-2</v>
      </c>
      <c r="K42" s="1">
        <f t="shared" si="11"/>
        <v>0.1737660047667986</v>
      </c>
      <c r="L42" s="1">
        <f t="shared" si="12"/>
        <v>0.13656704940834399</v>
      </c>
      <c r="M42" s="1">
        <f t="shared" si="13"/>
        <v>5.5617066807369941E-3</v>
      </c>
      <c r="N42" s="1">
        <f t="shared" si="14"/>
        <v>0.26757239213595096</v>
      </c>
      <c r="O42" s="1">
        <f t="shared" si="15"/>
        <v>9.1914774205577296E-2</v>
      </c>
      <c r="P42" s="1">
        <f t="shared" si="16"/>
        <v>0.18121932461111068</v>
      </c>
    </row>
    <row r="43" spans="1:17" x14ac:dyDescent="0.25">
      <c r="A43" s="1">
        <f t="shared" si="3"/>
        <v>0.28974879610757398</v>
      </c>
      <c r="B43" s="1">
        <f t="shared" si="4"/>
        <v>0.13920447763296601</v>
      </c>
      <c r="C43" s="1">
        <f t="shared" si="1"/>
        <v>0.13067092988842219</v>
      </c>
      <c r="D43" s="1">
        <f t="shared" si="2"/>
        <v>0.14773802537750982</v>
      </c>
      <c r="E43" s="1">
        <f t="shared" si="5"/>
        <v>0.10273015268704071</v>
      </c>
      <c r="F43" s="1">
        <f t="shared" si="6"/>
        <v>0.17567880257889129</v>
      </c>
      <c r="G43" s="1">
        <f t="shared" si="7"/>
        <v>0.139408945708964</v>
      </c>
      <c r="H43" s="1">
        <f t="shared" si="8"/>
        <v>5.4818135057630168E-3</v>
      </c>
      <c r="I43" s="1">
        <f t="shared" si="9"/>
        <v>0.27333607791216497</v>
      </c>
      <c r="J43" s="1">
        <f t="shared" si="10"/>
        <v>0.1028502418291202</v>
      </c>
      <c r="K43" s="1">
        <f t="shared" si="11"/>
        <v>0.17596764958880781</v>
      </c>
      <c r="L43" s="1">
        <f t="shared" si="12"/>
        <v>0.14421007100803901</v>
      </c>
      <c r="M43" s="1">
        <f t="shared" si="13"/>
        <v>3.882493561129019E-3</v>
      </c>
      <c r="N43" s="1">
        <f t="shared" si="14"/>
        <v>0.284537648454949</v>
      </c>
      <c r="O43" s="1">
        <f t="shared" si="15"/>
        <v>0.10507427883191821</v>
      </c>
      <c r="P43" s="1">
        <f t="shared" si="16"/>
        <v>0.1833458631841598</v>
      </c>
    </row>
    <row r="44" spans="1:17" x14ac:dyDescent="0.25">
      <c r="A44" s="1">
        <f t="shared" si="3"/>
        <v>0.33114148126580201</v>
      </c>
      <c r="B44" s="1">
        <f t="shared" si="4"/>
        <v>0.14021926203420901</v>
      </c>
      <c r="C44" s="1">
        <f t="shared" si="1"/>
        <v>0.132260783151428</v>
      </c>
      <c r="D44" s="1">
        <f t="shared" si="2"/>
        <v>0.14817774091699001</v>
      </c>
      <c r="E44" s="1">
        <f t="shared" si="5"/>
        <v>0.103767113211264</v>
      </c>
      <c r="F44" s="1">
        <f t="shared" si="6"/>
        <v>0.17667141085715402</v>
      </c>
      <c r="G44" s="1">
        <f t="shared" si="7"/>
        <v>0.14050183429843599</v>
      </c>
      <c r="H44" s="1">
        <f t="shared" si="8"/>
        <v>5.0217427686269911E-3</v>
      </c>
      <c r="I44" s="1">
        <f t="shared" si="9"/>
        <v>0.27598192582824499</v>
      </c>
      <c r="J44" s="1">
        <f t="shared" si="10"/>
        <v>0.1039337315455898</v>
      </c>
      <c r="K44" s="1">
        <f t="shared" si="11"/>
        <v>0.17706993705128218</v>
      </c>
      <c r="L44" s="1">
        <f t="shared" si="12"/>
        <v>0.145280208692594</v>
      </c>
      <c r="M44" s="1">
        <f t="shared" si="13"/>
        <v>3.3838363453010112E-3</v>
      </c>
      <c r="N44" s="1">
        <f t="shared" si="14"/>
        <v>0.28717658103988697</v>
      </c>
      <c r="O44" s="1">
        <f t="shared" si="15"/>
        <v>0.1059617057262445</v>
      </c>
      <c r="P44" s="1">
        <f t="shared" si="16"/>
        <v>0.18459871165894351</v>
      </c>
    </row>
    <row r="45" spans="1:17" x14ac:dyDescent="0.25">
      <c r="A45" s="1">
        <f t="shared" si="3"/>
        <v>0.37253416642402798</v>
      </c>
      <c r="B45" s="1">
        <f t="shared" si="4"/>
        <v>0.144132732463501</v>
      </c>
      <c r="C45" s="1">
        <f t="shared" si="1"/>
        <v>0.13485554756596857</v>
      </c>
      <c r="D45" s="1">
        <f t="shared" si="2"/>
        <v>0.15340991736103343</v>
      </c>
      <c r="E45" s="1">
        <f t="shared" si="5"/>
        <v>0.11103863850998211</v>
      </c>
      <c r="F45" s="1">
        <f t="shared" si="6"/>
        <v>0.17722682641701989</v>
      </c>
      <c r="G45" s="1">
        <f t="shared" si="7"/>
        <v>0.14431939265739499</v>
      </c>
      <c r="H45" s="1">
        <f t="shared" si="8"/>
        <v>4.1011767382679865E-3</v>
      </c>
      <c r="I45" s="1">
        <f t="shared" si="9"/>
        <v>0.28453760857652199</v>
      </c>
      <c r="J45" s="1">
        <f t="shared" si="10"/>
        <v>0.1111713479927593</v>
      </c>
      <c r="K45" s="1">
        <f t="shared" si="11"/>
        <v>0.17746743732203069</v>
      </c>
      <c r="L45" s="1">
        <f t="shared" si="12"/>
        <v>0.14948040901353099</v>
      </c>
      <c r="M45" s="1">
        <f t="shared" si="13"/>
        <v>2.4262161889139766E-3</v>
      </c>
      <c r="N45" s="1">
        <f t="shared" si="14"/>
        <v>0.296534601838148</v>
      </c>
      <c r="O45" s="1">
        <f t="shared" si="15"/>
        <v>0.11420130681613819</v>
      </c>
      <c r="P45" s="1">
        <f t="shared" si="16"/>
        <v>0.18475951121092379</v>
      </c>
    </row>
    <row r="46" spans="1:17" x14ac:dyDescent="0.25">
      <c r="A46" s="1">
        <f t="shared" si="3"/>
        <v>0.41392685158224901</v>
      </c>
      <c r="B46" s="1">
        <f t="shared" si="4"/>
        <v>0.14630853080091799</v>
      </c>
      <c r="C46" s="1">
        <f t="shared" si="1"/>
        <v>0.13774604962436751</v>
      </c>
      <c r="D46" s="1">
        <f t="shared" si="2"/>
        <v>0.15487101197746847</v>
      </c>
      <c r="E46" s="1">
        <f t="shared" si="5"/>
        <v>0.11533266451042348</v>
      </c>
      <c r="F46" s="1">
        <f t="shared" si="6"/>
        <v>0.1772843970914125</v>
      </c>
      <c r="G46" s="1">
        <f t="shared" si="7"/>
        <v>0.146450336753357</v>
      </c>
      <c r="H46" s="1">
        <f t="shared" si="8"/>
        <v>3.5667011753429956E-3</v>
      </c>
      <c r="I46" s="1">
        <f t="shared" si="9"/>
        <v>0.28933397233137104</v>
      </c>
      <c r="J46" s="1">
        <f t="shared" si="10"/>
        <v>0.115456727667065</v>
      </c>
      <c r="K46" s="1">
        <f t="shared" si="11"/>
        <v>0.17744394583964901</v>
      </c>
      <c r="L46" s="1">
        <f t="shared" si="12"/>
        <v>0.15172881376326899</v>
      </c>
      <c r="M46" s="1">
        <f t="shared" si="13"/>
        <v>1.8502808673409865E-3</v>
      </c>
      <c r="N46" s="1">
        <f t="shared" si="14"/>
        <v>0.30160734665919697</v>
      </c>
      <c r="O46" s="1">
        <f t="shared" si="15"/>
        <v>0.1187131309279436</v>
      </c>
      <c r="P46" s="1">
        <f t="shared" si="16"/>
        <v>0.18474449659859438</v>
      </c>
    </row>
    <row r="47" spans="1:17" x14ac:dyDescent="0.25">
      <c r="A47" s="1">
        <f t="shared" si="3"/>
        <v>0.45531953674047598</v>
      </c>
      <c r="B47" s="1">
        <f t="shared" si="4"/>
        <v>0.145060143950593</v>
      </c>
      <c r="C47" s="1">
        <f t="shared" si="1"/>
        <v>0.13636334338162645</v>
      </c>
      <c r="D47" s="1">
        <f t="shared" si="2"/>
        <v>0.15375694451955954</v>
      </c>
      <c r="E47" s="1">
        <f t="shared" si="5"/>
        <v>0.113226313145003</v>
      </c>
      <c r="F47" s="1">
        <f t="shared" si="6"/>
        <v>0.17689397475618299</v>
      </c>
      <c r="G47" s="1">
        <f t="shared" si="7"/>
        <v>0.14505286964581501</v>
      </c>
      <c r="H47" s="1">
        <f t="shared" si="8"/>
        <v>4.0479277482500242E-3</v>
      </c>
      <c r="I47" s="1">
        <f t="shared" si="9"/>
        <v>0.28605781154338</v>
      </c>
      <c r="J47" s="1">
        <f t="shared" si="10"/>
        <v>0.11326565664183232</v>
      </c>
      <c r="K47" s="1">
        <f t="shared" si="11"/>
        <v>0.17684008264979773</v>
      </c>
      <c r="L47" s="1">
        <f t="shared" si="12"/>
        <v>0.150402873126291</v>
      </c>
      <c r="M47" s="1">
        <f t="shared" si="13"/>
        <v>2.3857546550500042E-3</v>
      </c>
      <c r="N47" s="1">
        <f t="shared" si="14"/>
        <v>0.29841999159753196</v>
      </c>
      <c r="O47" s="1">
        <f t="shared" si="15"/>
        <v>0.11697451683288371</v>
      </c>
      <c r="P47" s="1">
        <f t="shared" si="16"/>
        <v>0.18383122941969829</v>
      </c>
    </row>
    <row r="48" spans="1:17" x14ac:dyDescent="0.25">
      <c r="A48" s="1">
        <f t="shared" si="3"/>
        <v>0.49671222189870301</v>
      </c>
      <c r="B48" s="1">
        <f t="shared" si="4"/>
        <v>0.14327186050506799</v>
      </c>
      <c r="C48" s="1">
        <f t="shared" si="1"/>
        <v>0.13448261054986402</v>
      </c>
      <c r="D48" s="1">
        <f t="shared" si="2"/>
        <v>0.15206111046027196</v>
      </c>
      <c r="E48" s="1">
        <f t="shared" si="5"/>
        <v>0.11035432971609409</v>
      </c>
      <c r="F48" s="1">
        <f t="shared" si="6"/>
        <v>0.17618939129404187</v>
      </c>
      <c r="G48" s="1">
        <f t="shared" si="7"/>
        <v>0.14351732736884801</v>
      </c>
      <c r="H48" s="1">
        <f t="shared" si="8"/>
        <v>4.4930875320040031E-3</v>
      </c>
      <c r="I48" s="1">
        <f t="shared" si="9"/>
        <v>0.28254156720569201</v>
      </c>
      <c r="J48" s="1">
        <f t="shared" si="10"/>
        <v>0.11051299522076172</v>
      </c>
      <c r="K48" s="1">
        <f t="shared" si="11"/>
        <v>0.1765216595169343</v>
      </c>
      <c r="L48" s="1">
        <f t="shared" si="12"/>
        <v>0.148637369431808</v>
      </c>
      <c r="M48" s="1">
        <f t="shared" si="13"/>
        <v>2.8353338006109896E-3</v>
      </c>
      <c r="N48" s="1">
        <f t="shared" si="14"/>
        <v>0.29443940506300503</v>
      </c>
      <c r="O48" s="1">
        <f t="shared" si="15"/>
        <v>0.1134720448406881</v>
      </c>
      <c r="P48" s="1">
        <f t="shared" si="16"/>
        <v>0.1838026940229279</v>
      </c>
    </row>
    <row r="49" spans="1:16" x14ac:dyDescent="0.25">
      <c r="A49" s="1">
        <f t="shared" si="3"/>
        <v>0.53810490705692204</v>
      </c>
      <c r="B49" s="1">
        <f t="shared" si="4"/>
        <v>0.14532608519860299</v>
      </c>
      <c r="C49" s="1">
        <f t="shared" si="1"/>
        <v>0.13625524816748658</v>
      </c>
      <c r="D49" s="1">
        <f t="shared" si="2"/>
        <v>0.1543969222297194</v>
      </c>
      <c r="E49" s="1">
        <f t="shared" si="5"/>
        <v>0.1138760665652466</v>
      </c>
      <c r="F49" s="1">
        <f t="shared" si="6"/>
        <v>0.17677610383195938</v>
      </c>
      <c r="G49" s="1">
        <f t="shared" si="7"/>
        <v>0.14534370655453199</v>
      </c>
      <c r="H49" s="1">
        <f t="shared" si="8"/>
        <v>3.9934659851799947E-3</v>
      </c>
      <c r="I49" s="1">
        <f t="shared" si="9"/>
        <v>0.28669394712388396</v>
      </c>
      <c r="J49" s="1">
        <f t="shared" si="10"/>
        <v>0.11393021848279108</v>
      </c>
      <c r="K49" s="1">
        <f t="shared" si="11"/>
        <v>0.1767571946262729</v>
      </c>
      <c r="L49" s="1">
        <f t="shared" si="12"/>
        <v>0.150589059810707</v>
      </c>
      <c r="M49" s="1">
        <f t="shared" si="13"/>
        <v>2.3055323195700084E-3</v>
      </c>
      <c r="N49" s="1">
        <f t="shared" si="14"/>
        <v>0.29887258730184396</v>
      </c>
      <c r="O49" s="1">
        <f t="shared" si="15"/>
        <v>0.1171843648888314</v>
      </c>
      <c r="P49" s="1">
        <f t="shared" si="16"/>
        <v>0.18399375473258262</v>
      </c>
    </row>
    <row r="50" spans="1:16" x14ac:dyDescent="0.25">
      <c r="A50" s="1">
        <f t="shared" si="3"/>
        <v>0.57949759221514796</v>
      </c>
      <c r="B50" s="1">
        <f t="shared" si="4"/>
        <v>0.147535788995909</v>
      </c>
      <c r="C50" s="1">
        <f t="shared" si="1"/>
        <v>0.13925935752121016</v>
      </c>
      <c r="D50" s="1">
        <f t="shared" si="2"/>
        <v>0.15581222047060783</v>
      </c>
      <c r="E50" s="1">
        <f t="shared" si="5"/>
        <v>0.11776648952929229</v>
      </c>
      <c r="F50" s="1">
        <f t="shared" si="6"/>
        <v>0.17730508846252568</v>
      </c>
      <c r="G50" s="1">
        <f t="shared" si="7"/>
        <v>0.14769504250797999</v>
      </c>
      <c r="H50" s="1">
        <f t="shared" si="8"/>
        <v>3.2198807216869962E-3</v>
      </c>
      <c r="I50" s="1">
        <f t="shared" si="9"/>
        <v>0.29217020429427298</v>
      </c>
      <c r="J50" s="1">
        <f t="shared" si="10"/>
        <v>0.11790345550401859</v>
      </c>
      <c r="K50" s="1">
        <f t="shared" si="11"/>
        <v>0.17748662951194139</v>
      </c>
      <c r="L50" s="1">
        <f t="shared" si="12"/>
        <v>0.15299574767344001</v>
      </c>
      <c r="M50" s="1">
        <f t="shared" si="13"/>
        <v>1.47183757694902E-3</v>
      </c>
      <c r="N50" s="1">
        <f t="shared" si="14"/>
        <v>0.30451965776993101</v>
      </c>
      <c r="O50" s="1">
        <f t="shared" si="15"/>
        <v>0.12110036159386592</v>
      </c>
      <c r="P50" s="1">
        <f t="shared" si="16"/>
        <v>0.18489113375301411</v>
      </c>
    </row>
    <row r="51" spans="1:16" x14ac:dyDescent="0.25">
      <c r="A51" s="1">
        <f t="shared" si="3"/>
        <v>0.62089027737337599</v>
      </c>
      <c r="B51" s="1">
        <f t="shared" si="4"/>
        <v>0.151263204641365</v>
      </c>
      <c r="C51" s="1">
        <f t="shared" si="1"/>
        <v>0.14195382303446602</v>
      </c>
      <c r="D51" s="1">
        <f t="shared" si="2"/>
        <v>0.16057258624826398</v>
      </c>
      <c r="E51" s="1">
        <f t="shared" si="5"/>
        <v>0.1268062956208007</v>
      </c>
      <c r="F51" s="1">
        <f t="shared" si="6"/>
        <v>0.1757201136619293</v>
      </c>
      <c r="G51" s="1">
        <f t="shared" si="7"/>
        <v>0.151566550454168</v>
      </c>
      <c r="H51" s="1">
        <f t="shared" si="8"/>
        <v>2.252731359849991E-3</v>
      </c>
      <c r="I51" s="1">
        <f t="shared" si="9"/>
        <v>0.30088036954848602</v>
      </c>
      <c r="J51" s="1">
        <f t="shared" si="10"/>
        <v>0.12705786585645851</v>
      </c>
      <c r="K51" s="1">
        <f t="shared" si="11"/>
        <v>0.1760752350518775</v>
      </c>
      <c r="L51" s="1">
        <f t="shared" si="12"/>
        <v>0.157177753780541</v>
      </c>
      <c r="M51" s="1">
        <f t="shared" si="13"/>
        <v>4.5054368087699137E-4</v>
      </c>
      <c r="N51" s="1">
        <f t="shared" si="14"/>
        <v>0.313904963880205</v>
      </c>
      <c r="O51" s="1">
        <f t="shared" si="15"/>
        <v>0.13119972276542649</v>
      </c>
      <c r="P51" s="1">
        <f t="shared" si="16"/>
        <v>0.1831557847956555</v>
      </c>
    </row>
    <row r="52" spans="1:16" x14ac:dyDescent="0.25">
      <c r="A52" s="1">
        <f t="shared" si="3"/>
        <v>0.66228296253160202</v>
      </c>
      <c r="B52" s="1">
        <f t="shared" si="4"/>
        <v>0.152034236882468</v>
      </c>
      <c r="C52" s="1">
        <f t="shared" si="1"/>
        <v>0.14207904657598872</v>
      </c>
      <c r="D52" s="1">
        <f t="shared" si="2"/>
        <v>0.16198942718894729</v>
      </c>
      <c r="E52" s="1">
        <f t="shared" si="5"/>
        <v>0.12896105220476711</v>
      </c>
      <c r="F52" s="1">
        <f t="shared" si="6"/>
        <v>0.1751074215601689</v>
      </c>
      <c r="G52" s="1">
        <f t="shared" si="7"/>
        <v>0.15241996892460499</v>
      </c>
      <c r="H52" s="1">
        <f t="shared" si="8"/>
        <v>2.0322891284809963E-3</v>
      </c>
      <c r="I52" s="1">
        <f t="shared" si="9"/>
        <v>0.30280764872072896</v>
      </c>
      <c r="J52" s="1">
        <f t="shared" si="10"/>
        <v>0.12926408094267319</v>
      </c>
      <c r="K52" s="1">
        <f t="shared" si="11"/>
        <v>0.17557585690653679</v>
      </c>
      <c r="L52" s="1">
        <f t="shared" si="12"/>
        <v>0.15811043109856901</v>
      </c>
      <c r="M52" s="1">
        <f t="shared" si="13"/>
        <v>2.1986991192401995E-4</v>
      </c>
      <c r="N52" s="1">
        <f t="shared" si="14"/>
        <v>0.316000992285214</v>
      </c>
      <c r="O52" s="1">
        <f t="shared" si="15"/>
        <v>0.13371179660465582</v>
      </c>
      <c r="P52" s="1">
        <f t="shared" si="16"/>
        <v>0.1825090655924822</v>
      </c>
    </row>
    <row r="53" spans="1:16" x14ac:dyDescent="0.25">
      <c r="A53" s="1">
        <f t="shared" si="3"/>
        <v>0.70367564768982405</v>
      </c>
      <c r="B53" s="1">
        <f t="shared" si="4"/>
        <v>0.15146420046158399</v>
      </c>
      <c r="C53" s="1">
        <f t="shared" si="1"/>
        <v>0.14209919948471564</v>
      </c>
      <c r="D53" s="1">
        <f t="shared" si="2"/>
        <v>0.16082920143845233</v>
      </c>
      <c r="E53" s="1">
        <f t="shared" si="5"/>
        <v>0.1278011860960771</v>
      </c>
      <c r="F53" s="1">
        <f t="shared" si="6"/>
        <v>0.17512721482709087</v>
      </c>
      <c r="G53" s="1">
        <f t="shared" si="7"/>
        <v>0.15175882441905</v>
      </c>
      <c r="H53" s="1">
        <f t="shared" si="8"/>
        <v>2.2763705681440038E-3</v>
      </c>
      <c r="I53" s="1">
        <f t="shared" si="9"/>
        <v>0.301241278269956</v>
      </c>
      <c r="J53" s="1">
        <f t="shared" si="10"/>
        <v>0.1280434700147923</v>
      </c>
      <c r="K53" s="1">
        <f t="shared" si="11"/>
        <v>0.17547417882330771</v>
      </c>
      <c r="L53" s="1">
        <f t="shared" si="12"/>
        <v>0.15750447378155399</v>
      </c>
      <c r="M53" s="1">
        <f t="shared" si="13"/>
        <v>4.9367454457099891E-4</v>
      </c>
      <c r="N53" s="1">
        <f t="shared" si="14"/>
        <v>0.31451527301853699</v>
      </c>
      <c r="O53" s="1">
        <f t="shared" si="15"/>
        <v>0.13289124664115728</v>
      </c>
      <c r="P53" s="1">
        <f t="shared" si="16"/>
        <v>0.1821177009219507</v>
      </c>
    </row>
    <row r="54" spans="1:16" x14ac:dyDescent="0.25">
      <c r="A54" s="1">
        <f t="shared" si="3"/>
        <v>0.74506833284804996</v>
      </c>
      <c r="B54" s="1">
        <f t="shared" si="4"/>
        <v>0.14821895385144099</v>
      </c>
      <c r="C54" s="1">
        <f t="shared" si="1"/>
        <v>0.1385069324416511</v>
      </c>
      <c r="D54" s="1">
        <f t="shared" si="2"/>
        <v>0.15793097526123087</v>
      </c>
      <c r="E54" s="1">
        <f t="shared" si="5"/>
        <v>0.11976336339966749</v>
      </c>
      <c r="F54" s="1">
        <f t="shared" si="6"/>
        <v>0.1766745443032145</v>
      </c>
      <c r="G54" s="1">
        <f t="shared" si="7"/>
        <v>0.14845230915205801</v>
      </c>
      <c r="H54" s="1">
        <f t="shared" si="8"/>
        <v>3.1002412687380076E-3</v>
      </c>
      <c r="I54" s="1">
        <f t="shared" si="9"/>
        <v>0.29380437703537798</v>
      </c>
      <c r="J54" s="1">
        <f t="shared" si="10"/>
        <v>0.11994627460293301</v>
      </c>
      <c r="K54" s="1">
        <f t="shared" si="11"/>
        <v>0.17695834370118302</v>
      </c>
      <c r="L54" s="1">
        <f t="shared" si="12"/>
        <v>0.153842813171403</v>
      </c>
      <c r="M54" s="1">
        <f t="shared" si="13"/>
        <v>1.3482012974329882E-3</v>
      </c>
      <c r="N54" s="1">
        <f t="shared" si="14"/>
        <v>0.30633742504537298</v>
      </c>
      <c r="O54" s="1">
        <f t="shared" si="15"/>
        <v>0.1234428383630945</v>
      </c>
      <c r="P54" s="1">
        <f t="shared" si="16"/>
        <v>0.1842427879797115</v>
      </c>
    </row>
    <row r="55" spans="1:16" x14ac:dyDescent="0.25">
      <c r="A55" s="1">
        <f t="shared" si="3"/>
        <v>0.78646101800627699</v>
      </c>
      <c r="B55" s="1">
        <f t="shared" si="4"/>
        <v>0.155172032119752</v>
      </c>
      <c r="C55" s="1">
        <f t="shared" si="1"/>
        <v>0.14531981723595522</v>
      </c>
      <c r="D55" s="1">
        <f t="shared" si="2"/>
        <v>0.16502424700354879</v>
      </c>
      <c r="E55" s="1">
        <f t="shared" si="5"/>
        <v>0.1374546839486091</v>
      </c>
      <c r="F55" s="1">
        <f t="shared" si="6"/>
        <v>0.1728893802908949</v>
      </c>
      <c r="G55" s="1">
        <f t="shared" si="7"/>
        <v>0.15541391479067601</v>
      </c>
      <c r="H55" s="1">
        <f t="shared" si="8"/>
        <v>1.205819384144019E-3</v>
      </c>
      <c r="I55" s="1">
        <f t="shared" si="9"/>
        <v>0.30962201019720803</v>
      </c>
      <c r="J55" s="1">
        <f t="shared" si="10"/>
        <v>0.13770907069604421</v>
      </c>
      <c r="K55" s="1">
        <f t="shared" si="11"/>
        <v>0.17311875888530781</v>
      </c>
      <c r="L55" s="1">
        <f t="shared" si="12"/>
        <v>0.161297947326245</v>
      </c>
      <c r="M55" s="1">
        <f t="shared" si="13"/>
        <v>-6.5828852778199165E-4</v>
      </c>
      <c r="N55" s="1">
        <f t="shared" si="14"/>
        <v>0.32325418318027199</v>
      </c>
      <c r="O55" s="1">
        <f t="shared" si="15"/>
        <v>0.14292279080283049</v>
      </c>
      <c r="P55" s="1">
        <f t="shared" si="16"/>
        <v>0.17967310384965951</v>
      </c>
    </row>
    <row r="56" spans="1:16" x14ac:dyDescent="0.25">
      <c r="A56" s="1">
        <f t="shared" si="3"/>
        <v>0.82785370316450202</v>
      </c>
      <c r="B56" s="1">
        <f t="shared" si="4"/>
        <v>0.149345818408958</v>
      </c>
      <c r="C56" s="1">
        <f t="shared" si="1"/>
        <v>0.14028395298231733</v>
      </c>
      <c r="D56" s="1">
        <f t="shared" si="2"/>
        <v>0.15840768383559867</v>
      </c>
      <c r="E56" s="1">
        <f t="shared" si="5"/>
        <v>0.1220029916359234</v>
      </c>
      <c r="F56" s="1">
        <f t="shared" si="6"/>
        <v>0.17668864518199259</v>
      </c>
      <c r="G56" s="1">
        <f t="shared" si="7"/>
        <v>0.14936465872542401</v>
      </c>
      <c r="H56" s="1">
        <f t="shared" si="8"/>
        <v>2.875545324044021E-3</v>
      </c>
      <c r="I56" s="1">
        <f t="shared" si="9"/>
        <v>0.29585377212680397</v>
      </c>
      <c r="J56" s="1">
        <f t="shared" si="10"/>
        <v>0.12206612147214131</v>
      </c>
      <c r="K56" s="1">
        <f t="shared" si="11"/>
        <v>0.17666319597870672</v>
      </c>
      <c r="L56" s="1">
        <f t="shared" si="12"/>
        <v>0.15485733976841801</v>
      </c>
      <c r="M56" s="1">
        <f t="shared" si="13"/>
        <v>1.1158287311540116E-3</v>
      </c>
      <c r="N56" s="1">
        <f t="shared" si="14"/>
        <v>0.308598850805682</v>
      </c>
      <c r="O56" s="1">
        <f t="shared" si="15"/>
        <v>0.1259171617962751</v>
      </c>
      <c r="P56" s="1">
        <f t="shared" si="16"/>
        <v>0.18379751774056091</v>
      </c>
    </row>
    <row r="57" spans="1:16" x14ac:dyDescent="0.25">
      <c r="A57" s="1">
        <f t="shared" si="3"/>
        <v>0.86924638832272405</v>
      </c>
      <c r="B57" s="1">
        <f t="shared" si="4"/>
        <v>0.152825205433648</v>
      </c>
      <c r="C57" s="1">
        <f t="shared" si="1"/>
        <v>0.14359295882976328</v>
      </c>
      <c r="D57" s="1">
        <f t="shared" si="2"/>
        <v>0.16205745203753272</v>
      </c>
      <c r="E57" s="1">
        <f t="shared" si="5"/>
        <v>0.1311942659942559</v>
      </c>
      <c r="F57" s="1">
        <f t="shared" si="6"/>
        <v>0.17445614487304009</v>
      </c>
      <c r="G57" s="1">
        <f t="shared" si="7"/>
        <v>0.15316918043451999</v>
      </c>
      <c r="H57" s="1">
        <f t="shared" si="8"/>
        <v>1.8632868550999826E-3</v>
      </c>
      <c r="I57" s="1">
        <f t="shared" si="9"/>
        <v>0.30447507401394003</v>
      </c>
      <c r="J57" s="1">
        <f t="shared" si="10"/>
        <v>0.13149310510395318</v>
      </c>
      <c r="K57" s="1">
        <f t="shared" si="11"/>
        <v>0.1748452557650868</v>
      </c>
      <c r="L57" s="1">
        <f t="shared" si="12"/>
        <v>0.15896822643588299</v>
      </c>
      <c r="M57" s="1">
        <f t="shared" si="13"/>
        <v>4.9177176925985222E-5</v>
      </c>
      <c r="N57" s="1">
        <f t="shared" si="14"/>
        <v>0.31788727569483999</v>
      </c>
      <c r="O57" s="1">
        <f t="shared" si="15"/>
        <v>0.13647148628479319</v>
      </c>
      <c r="P57" s="1">
        <f t="shared" si="16"/>
        <v>0.18146496658697278</v>
      </c>
    </row>
    <row r="58" spans="1:16" x14ac:dyDescent="0.25">
      <c r="A58" s="1">
        <f t="shared" si="3"/>
        <v>0.91063907348095097</v>
      </c>
      <c r="B58" s="1">
        <f t="shared" si="4"/>
        <v>0.15273940587030799</v>
      </c>
      <c r="C58" s="1">
        <f t="shared" si="1"/>
        <v>0.14276648040040105</v>
      </c>
      <c r="D58" s="1">
        <f t="shared" si="2"/>
        <v>0.16271233134021493</v>
      </c>
      <c r="E58" s="1">
        <f t="shared" si="5"/>
        <v>0.12956665347042859</v>
      </c>
      <c r="F58" s="1">
        <f t="shared" si="6"/>
        <v>0.17591215827018739</v>
      </c>
      <c r="G58" s="1">
        <f t="shared" si="7"/>
        <v>0.15301937684147601</v>
      </c>
      <c r="H58" s="1">
        <f t="shared" si="8"/>
        <v>1.7301202108270242E-3</v>
      </c>
      <c r="I58" s="1">
        <f t="shared" si="9"/>
        <v>0.304308633472125</v>
      </c>
      <c r="J58" s="1">
        <f t="shared" si="10"/>
        <v>0.1298167325426724</v>
      </c>
      <c r="K58" s="1">
        <f t="shared" si="11"/>
        <v>0.17622202114027963</v>
      </c>
      <c r="L58" s="1">
        <f t="shared" si="12"/>
        <v>0.158531168327079</v>
      </c>
      <c r="M58" s="1">
        <f t="shared" si="13"/>
        <v>-1.3329586005300653E-4</v>
      </c>
      <c r="N58" s="1">
        <f t="shared" si="14"/>
        <v>0.31719563251421101</v>
      </c>
      <c r="O58" s="1">
        <f t="shared" si="15"/>
        <v>0.13318382258382672</v>
      </c>
      <c r="P58" s="1">
        <f t="shared" si="16"/>
        <v>0.18387851407033129</v>
      </c>
    </row>
    <row r="59" spans="1:16" x14ac:dyDescent="0.25">
      <c r="A59" s="1">
        <f t="shared" si="3"/>
        <v>0.95203175863917799</v>
      </c>
      <c r="B59" s="1">
        <f t="shared" si="4"/>
        <v>0.14916420959690099</v>
      </c>
      <c r="C59" s="1">
        <f t="shared" si="1"/>
        <v>0.13942490552561909</v>
      </c>
      <c r="D59" s="1">
        <f t="shared" si="2"/>
        <v>0.15890351366818289</v>
      </c>
      <c r="E59" s="1">
        <f t="shared" si="5"/>
        <v>0.12242284129016409</v>
      </c>
      <c r="F59" s="1">
        <f t="shared" si="6"/>
        <v>0.17590557790363789</v>
      </c>
      <c r="G59" s="1">
        <f t="shared" si="7"/>
        <v>0.14958553288604301</v>
      </c>
      <c r="H59" s="1">
        <f t="shared" si="8"/>
        <v>2.8466906921110202E-3</v>
      </c>
      <c r="I59" s="1">
        <f t="shared" si="9"/>
        <v>0.296324375079975</v>
      </c>
      <c r="J59" s="1">
        <f t="shared" si="10"/>
        <v>0.1227252264639386</v>
      </c>
      <c r="K59" s="1">
        <f t="shared" si="11"/>
        <v>0.17644583930814742</v>
      </c>
      <c r="L59" s="1">
        <f t="shared" si="12"/>
        <v>0.155143575669378</v>
      </c>
      <c r="M59" s="1">
        <f t="shared" si="13"/>
        <v>1.0927107032180083E-3</v>
      </c>
      <c r="N59" s="1">
        <f t="shared" si="14"/>
        <v>0.30919444063553803</v>
      </c>
      <c r="O59" s="1">
        <f t="shared" si="15"/>
        <v>0.12686224494562401</v>
      </c>
      <c r="P59" s="1">
        <f t="shared" si="16"/>
        <v>0.183424906393132</v>
      </c>
    </row>
    <row r="60" spans="1:16" x14ac:dyDescent="0.25">
      <c r="A60" s="1">
        <f t="shared" si="3"/>
        <v>0.99342444379740502</v>
      </c>
      <c r="B60" s="1">
        <f t="shared" si="4"/>
        <v>0.15240663268056301</v>
      </c>
      <c r="C60" s="1">
        <f t="shared" si="1"/>
        <v>0.14248970040145645</v>
      </c>
      <c r="D60" s="1">
        <f t="shared" si="2"/>
        <v>0.16232356495966957</v>
      </c>
      <c r="E60" s="1">
        <f t="shared" si="5"/>
        <v>0.1300245671933061</v>
      </c>
      <c r="F60" s="1">
        <f t="shared" si="6"/>
        <v>0.17478869816781992</v>
      </c>
      <c r="G60" s="1">
        <f t="shared" si="7"/>
        <v>0.15269380369926</v>
      </c>
      <c r="H60" s="1">
        <f t="shared" si="8"/>
        <v>2.0025214772400046E-3</v>
      </c>
      <c r="I60" s="1">
        <f t="shared" si="9"/>
        <v>0.30338508592128</v>
      </c>
      <c r="J60" s="1">
        <f t="shared" si="10"/>
        <v>0.13028395908052201</v>
      </c>
      <c r="K60" s="1">
        <f t="shared" si="11"/>
        <v>0.17510364831799799</v>
      </c>
      <c r="L60" s="1">
        <f t="shared" si="12"/>
        <v>0.15847485174863299</v>
      </c>
      <c r="M60" s="1">
        <f t="shared" si="13"/>
        <v>1.990001330759994E-4</v>
      </c>
      <c r="N60" s="1">
        <f t="shared" si="14"/>
        <v>0.31675070336418998</v>
      </c>
      <c r="O60" s="1">
        <f t="shared" si="15"/>
        <v>0.13521656151271028</v>
      </c>
      <c r="P60" s="1">
        <f t="shared" si="16"/>
        <v>0.1817331419845557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B7" sqref="B7:C7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16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1.1652847185467099</v>
      </c>
      <c r="D11">
        <v>6.2612639382600796E-2</v>
      </c>
      <c r="E11">
        <v>1.42057538440769E-2</v>
      </c>
      <c r="F11">
        <v>5.1183278990123503E-2</v>
      </c>
      <c r="G11">
        <v>1.1609247848018101</v>
      </c>
      <c r="H11">
        <v>6.20242256030233E-2</v>
      </c>
      <c r="I11">
        <v>3.0176207705523601E-2</v>
      </c>
      <c r="J11">
        <v>4.5873510843476899E-2</v>
      </c>
      <c r="K11">
        <v>1.17346345608827</v>
      </c>
      <c r="L11">
        <v>6.7133372016899895E-2</v>
      </c>
      <c r="M11">
        <v>3.2673762046216102E-2</v>
      </c>
      <c r="N11">
        <v>4.2549385362996101E-2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8.2785370316449197E-2</v>
      </c>
      <c r="C12">
        <v>1.37920585702589</v>
      </c>
      <c r="D12">
        <v>0.12338989470394</v>
      </c>
      <c r="E12">
        <v>0.116477791947572</v>
      </c>
      <c r="F12">
        <v>0.104921725636711</v>
      </c>
      <c r="G12">
        <v>1.3416729585881999</v>
      </c>
      <c r="H12">
        <v>0.11837185275336901</v>
      </c>
      <c r="I12">
        <v>7.9809931118639293E-2</v>
      </c>
      <c r="J12">
        <v>8.4614830797691595E-2</v>
      </c>
      <c r="K12">
        <v>1.33438324569502</v>
      </c>
      <c r="L12">
        <v>0.117909038842826</v>
      </c>
      <c r="M12">
        <v>7.6439415938321903E-2</v>
      </c>
      <c r="N12">
        <v>7.5946796171637798E-2</v>
      </c>
      <c r="O12" s="2">
        <f>B2-P12</f>
        <v>973</v>
      </c>
      <c r="P12">
        <v>27</v>
      </c>
      <c r="Q12" s="1">
        <f t="shared" ref="Q12:Q34" si="0">P12/1000</f>
        <v>2.7E-2</v>
      </c>
    </row>
    <row r="13" spans="1:17" x14ac:dyDescent="0.25">
      <c r="A13">
        <v>1.33099999999999</v>
      </c>
      <c r="B13">
        <v>0.124178055474673</v>
      </c>
      <c r="C13">
        <v>1.6237428107032901</v>
      </c>
      <c r="D13">
        <v>0.183904004479755</v>
      </c>
      <c r="E13">
        <v>0.270773738491353</v>
      </c>
      <c r="F13">
        <v>0.138309944828612</v>
      </c>
      <c r="G13">
        <v>1.5284255590427001</v>
      </c>
      <c r="H13">
        <v>0.17085041022081299</v>
      </c>
      <c r="I13">
        <v>0.134150671335516</v>
      </c>
      <c r="J13">
        <v>0.104383833960888</v>
      </c>
      <c r="K13">
        <v>1.49709911891565</v>
      </c>
      <c r="L13">
        <v>0.16452798952814701</v>
      </c>
      <c r="M13">
        <v>0.122919111647596</v>
      </c>
      <c r="N13">
        <v>9.3610600876834094E-2</v>
      </c>
      <c r="O13" s="2">
        <f>B2-P13</f>
        <v>925</v>
      </c>
      <c r="P13">
        <v>75</v>
      </c>
      <c r="Q13" s="1">
        <f t="shared" si="0"/>
        <v>7.4999999999999997E-2</v>
      </c>
    </row>
    <row r="14" spans="1:17" x14ac:dyDescent="0.25">
      <c r="A14">
        <v>1.46409999999999</v>
      </c>
      <c r="B14">
        <v>0.16557074063289901</v>
      </c>
      <c r="C14">
        <v>1.7461701162716701</v>
      </c>
      <c r="D14">
        <v>0.215645130823366</v>
      </c>
      <c r="E14">
        <v>0.30771266141523401</v>
      </c>
      <c r="F14">
        <v>0.140826208472354</v>
      </c>
      <c r="G14">
        <v>1.6419076711216001</v>
      </c>
      <c r="H14">
        <v>0.201384229124036</v>
      </c>
      <c r="I14">
        <v>0.16768440409951599</v>
      </c>
      <c r="J14">
        <v>0.108328867646498</v>
      </c>
      <c r="K14">
        <v>1.5961892637891</v>
      </c>
      <c r="L14">
        <v>0.191854855889803</v>
      </c>
      <c r="M14">
        <v>0.15159778156634801</v>
      </c>
      <c r="N14">
        <v>9.7146326383266701E-2</v>
      </c>
      <c r="O14" s="2">
        <f>B2-P14</f>
        <v>857</v>
      </c>
      <c r="P14">
        <v>143</v>
      </c>
      <c r="Q14" s="1">
        <f t="shared" si="0"/>
        <v>0.14299999999999999</v>
      </c>
    </row>
    <row r="15" spans="1:17" x14ac:dyDescent="0.25">
      <c r="A15">
        <v>1.6105099999999799</v>
      </c>
      <c r="B15">
        <v>0.20696342579112501</v>
      </c>
      <c r="C15">
        <v>1.85564982662322</v>
      </c>
      <c r="D15">
        <v>0.24220927580611401</v>
      </c>
      <c r="E15">
        <v>0.3299551030333</v>
      </c>
      <c r="F15">
        <v>0.14259359989446499</v>
      </c>
      <c r="G15">
        <v>1.73008571389869</v>
      </c>
      <c r="H15">
        <v>0.22463038365906501</v>
      </c>
      <c r="I15">
        <v>0.19389018059917601</v>
      </c>
      <c r="J15">
        <v>0.10751415652655801</v>
      </c>
      <c r="K15">
        <v>1.67193727848132</v>
      </c>
      <c r="L15">
        <v>0.21223739725916199</v>
      </c>
      <c r="M15">
        <v>0.17369575790897401</v>
      </c>
      <c r="N15">
        <v>9.7124318900838003E-2</v>
      </c>
      <c r="O15" s="2">
        <f>B2-P15</f>
        <v>758</v>
      </c>
      <c r="P15">
        <v>242</v>
      </c>
      <c r="Q15" s="1">
        <f t="shared" si="0"/>
        <v>0.24199999999999999</v>
      </c>
    </row>
    <row r="16" spans="1:17" x14ac:dyDescent="0.25">
      <c r="A16">
        <v>1.7715610000000099</v>
      </c>
      <c r="B16">
        <v>0.24835611094934701</v>
      </c>
      <c r="C16">
        <v>1.9786597586488499</v>
      </c>
      <c r="D16">
        <v>0.27058681889534902</v>
      </c>
      <c r="E16">
        <v>0.40896350321397801</v>
      </c>
      <c r="F16">
        <v>0.14300986000745899</v>
      </c>
      <c r="G16">
        <v>1.83428842274699</v>
      </c>
      <c r="H16">
        <v>0.25071026679567199</v>
      </c>
      <c r="I16">
        <v>0.22517854414777999</v>
      </c>
      <c r="J16">
        <v>0.106481022814159</v>
      </c>
      <c r="K16">
        <v>1.7634279666666499</v>
      </c>
      <c r="L16">
        <v>0.23591568644824401</v>
      </c>
      <c r="M16">
        <v>0.20054303260807299</v>
      </c>
      <c r="N16">
        <v>9.6071846615516501E-2</v>
      </c>
      <c r="O16" s="2">
        <f>B2-P16</f>
        <v>753</v>
      </c>
      <c r="P16">
        <v>247</v>
      </c>
      <c r="Q16" s="1">
        <f t="shared" si="0"/>
        <v>0.247</v>
      </c>
    </row>
    <row r="17" spans="1:17" x14ac:dyDescent="0.25">
      <c r="A17">
        <v>1.9487171000000001</v>
      </c>
      <c r="B17">
        <v>0.28974879610757398</v>
      </c>
      <c r="C17">
        <v>2.06366836573241</v>
      </c>
      <c r="D17">
        <v>0.28521428416660699</v>
      </c>
      <c r="E17">
        <v>0.63152571653598399</v>
      </c>
      <c r="F17">
        <v>0.15157756368674799</v>
      </c>
      <c r="G17">
        <v>1.86312959197657</v>
      </c>
      <c r="H17">
        <v>0.25827397057736301</v>
      </c>
      <c r="I17">
        <v>0.23377157564093501</v>
      </c>
      <c r="J17">
        <v>0.103407600433828</v>
      </c>
      <c r="K17">
        <v>1.7873876081057101</v>
      </c>
      <c r="L17">
        <v>0.24227788992758401</v>
      </c>
      <c r="M17">
        <v>0.207559213968562</v>
      </c>
      <c r="N17">
        <v>9.4006216578554305E-2</v>
      </c>
      <c r="O17" s="2">
        <f>B2-P17</f>
        <v>650</v>
      </c>
      <c r="P17">
        <v>350</v>
      </c>
      <c r="Q17" s="1">
        <f t="shared" si="0"/>
        <v>0.35</v>
      </c>
    </row>
    <row r="18" spans="1:17" x14ac:dyDescent="0.25">
      <c r="A18">
        <v>2.1435888099999798</v>
      </c>
      <c r="B18">
        <v>0.33114148126580201</v>
      </c>
      <c r="C18">
        <v>2.1433943496400798</v>
      </c>
      <c r="D18">
        <v>0.30168900216419597</v>
      </c>
      <c r="E18">
        <v>0.68439408834402304</v>
      </c>
      <c r="F18">
        <v>0.15275786250790199</v>
      </c>
      <c r="G18">
        <v>1.9101698645712899</v>
      </c>
      <c r="H18">
        <v>0.269876456850279</v>
      </c>
      <c r="I18">
        <v>0.247895632136448</v>
      </c>
      <c r="J18">
        <v>0.10067025569043</v>
      </c>
      <c r="K18">
        <v>1.82914190913792</v>
      </c>
      <c r="L18">
        <v>0.25296250694658201</v>
      </c>
      <c r="M18">
        <v>0.21981893633548799</v>
      </c>
      <c r="N18">
        <v>9.13885090045993E-2</v>
      </c>
      <c r="O18" s="2">
        <f>B2-P18</f>
        <v>643</v>
      </c>
      <c r="P18">
        <v>357</v>
      </c>
      <c r="Q18" s="1">
        <f t="shared" si="0"/>
        <v>0.35699999999999998</v>
      </c>
    </row>
    <row r="19" spans="1:17" x14ac:dyDescent="0.25">
      <c r="A19">
        <v>2.3579476910000001</v>
      </c>
      <c r="B19">
        <v>0.37253416642402898</v>
      </c>
      <c r="C19">
        <v>2.1496720098127802</v>
      </c>
      <c r="D19">
        <v>0.30586086324820499</v>
      </c>
      <c r="E19">
        <v>0.61449582267432901</v>
      </c>
      <c r="F19">
        <v>0.14556820712870899</v>
      </c>
      <c r="G19">
        <v>1.94000914316214</v>
      </c>
      <c r="H19">
        <v>0.27723145010852102</v>
      </c>
      <c r="I19">
        <v>0.25687921897392701</v>
      </c>
      <c r="J19">
        <v>9.8250575798204495E-2</v>
      </c>
      <c r="K19">
        <v>1.8546993892307599</v>
      </c>
      <c r="L19">
        <v>0.25942793058083402</v>
      </c>
      <c r="M19">
        <v>0.227353580457655</v>
      </c>
      <c r="N19">
        <v>8.9576141681785904E-2</v>
      </c>
      <c r="O19" s="2">
        <f>B2-P19</f>
        <v>591</v>
      </c>
      <c r="P19">
        <v>409</v>
      </c>
      <c r="Q19" s="1">
        <f t="shared" si="0"/>
        <v>0.40899999999999997</v>
      </c>
    </row>
    <row r="20" spans="1:17" x14ac:dyDescent="0.25">
      <c r="A20">
        <v>2.5937424600999801</v>
      </c>
      <c r="B20">
        <v>0.41392685158225401</v>
      </c>
      <c r="C20">
        <v>2.26051413403184</v>
      </c>
      <c r="D20">
        <v>0.32404588988562599</v>
      </c>
      <c r="E20">
        <v>0.87639779497855796</v>
      </c>
      <c r="F20">
        <v>0.15539591979509401</v>
      </c>
      <c r="G20">
        <v>1.9730380762203601</v>
      </c>
      <c r="H20">
        <v>0.28508600861183903</v>
      </c>
      <c r="I20">
        <v>0.26684268128598598</v>
      </c>
      <c r="J20">
        <v>9.6354001776222595E-2</v>
      </c>
      <c r="K20">
        <v>1.8835057972982301</v>
      </c>
      <c r="L20">
        <v>0.26651079742225597</v>
      </c>
      <c r="M20">
        <v>0.235862565786638</v>
      </c>
      <c r="N20">
        <v>8.8078512584703894E-2</v>
      </c>
      <c r="O20" s="2">
        <f>B2-P20</f>
        <v>564</v>
      </c>
      <c r="P20">
        <v>436</v>
      </c>
      <c r="Q20" s="1">
        <f t="shared" si="0"/>
        <v>0.436</v>
      </c>
    </row>
    <row r="21" spans="1:17" x14ac:dyDescent="0.25">
      <c r="A21">
        <v>2.8531167061100202</v>
      </c>
      <c r="B21">
        <v>0.45531953674048198</v>
      </c>
      <c r="C21">
        <v>2.2237910511131198</v>
      </c>
      <c r="D21">
        <v>0.31966943124555203</v>
      </c>
      <c r="E21">
        <v>0.71152572477253895</v>
      </c>
      <c r="F21">
        <v>0.14855194039688099</v>
      </c>
      <c r="G21">
        <v>1.9745671336371999</v>
      </c>
      <c r="H21">
        <v>0.28560578327748198</v>
      </c>
      <c r="I21">
        <v>0.267275148947487</v>
      </c>
      <c r="J21">
        <v>9.5398725717223506E-2</v>
      </c>
      <c r="K21">
        <v>1.8852861504190399</v>
      </c>
      <c r="L21">
        <v>0.26712079488774598</v>
      </c>
      <c r="M21">
        <v>0.236354529646643</v>
      </c>
      <c r="N21">
        <v>8.6948459057482205E-2</v>
      </c>
      <c r="O21" s="2">
        <f>B2-P21</f>
        <v>502</v>
      </c>
      <c r="P21">
        <v>498</v>
      </c>
      <c r="Q21" s="1">
        <f t="shared" si="0"/>
        <v>0.498</v>
      </c>
    </row>
    <row r="22" spans="1:17" x14ac:dyDescent="0.25">
      <c r="A22">
        <v>3.1384283767210199</v>
      </c>
      <c r="B22">
        <v>0.49671222189869702</v>
      </c>
      <c r="C22">
        <v>2.3010511870276802</v>
      </c>
      <c r="D22">
        <v>0.33514349899330298</v>
      </c>
      <c r="E22">
        <v>0.801024168355842</v>
      </c>
      <c r="F22">
        <v>0.147147318688021</v>
      </c>
      <c r="G22">
        <v>2.0190344892139001</v>
      </c>
      <c r="H22">
        <v>0.29645003625949701</v>
      </c>
      <c r="I22">
        <v>0.28064969750499502</v>
      </c>
      <c r="J22">
        <v>9.0065639560237498E-2</v>
      </c>
      <c r="K22">
        <v>1.92426092259035</v>
      </c>
      <c r="L22">
        <v>0.27694864848836598</v>
      </c>
      <c r="M22">
        <v>0.24782782314670199</v>
      </c>
      <c r="N22">
        <v>8.2292050216764001E-2</v>
      </c>
      <c r="O22" s="2">
        <f>B2-P22</f>
        <v>507</v>
      </c>
      <c r="P22">
        <v>493</v>
      </c>
      <c r="Q22" s="1">
        <f t="shared" si="0"/>
        <v>0.49299999999999999</v>
      </c>
    </row>
    <row r="23" spans="1:17" x14ac:dyDescent="0.25">
      <c r="A23">
        <v>3.4522712143930701</v>
      </c>
      <c r="B23">
        <v>0.53810490705692104</v>
      </c>
      <c r="C23">
        <v>2.3139869087609402</v>
      </c>
      <c r="D23">
        <v>0.33710680048682901</v>
      </c>
      <c r="E23">
        <v>0.88826234192306397</v>
      </c>
      <c r="F23">
        <v>0.147780264812131</v>
      </c>
      <c r="G23">
        <v>2.02749278332473</v>
      </c>
      <c r="H23">
        <v>0.29847068851729802</v>
      </c>
      <c r="I23">
        <v>0.28320089175544</v>
      </c>
      <c r="J23">
        <v>8.9119145014462497E-2</v>
      </c>
      <c r="K23">
        <v>1.93203893651545</v>
      </c>
      <c r="L23">
        <v>0.27890988679810302</v>
      </c>
      <c r="M23">
        <v>0.25011315874012402</v>
      </c>
      <c r="N23">
        <v>8.1182222978832E-2</v>
      </c>
      <c r="O23" s="2">
        <f>B2-P23</f>
        <v>452</v>
      </c>
      <c r="P23">
        <v>548</v>
      </c>
      <c r="Q23" s="1">
        <f t="shared" si="0"/>
        <v>0.54800000000000004</v>
      </c>
    </row>
    <row r="24" spans="1:17" x14ac:dyDescent="0.25">
      <c r="A24">
        <v>3.7974983358324099</v>
      </c>
      <c r="B24">
        <v>0.57949759221514796</v>
      </c>
      <c r="C24">
        <v>2.3769010121408098</v>
      </c>
      <c r="D24">
        <v>0.34897939392535399</v>
      </c>
      <c r="E24">
        <v>0.97308654715326903</v>
      </c>
      <c r="F24">
        <v>0.14753318296922199</v>
      </c>
      <c r="G24">
        <v>2.0578748478641198</v>
      </c>
      <c r="H24">
        <v>0.30580010315637901</v>
      </c>
      <c r="I24">
        <v>0.29236078553509198</v>
      </c>
      <c r="J24">
        <v>8.4804932861886506E-2</v>
      </c>
      <c r="K24">
        <v>1.95826132995248</v>
      </c>
      <c r="L24">
        <v>0.28542271974899702</v>
      </c>
      <c r="M24">
        <v>0.257856268678058</v>
      </c>
      <c r="N24">
        <v>7.7685858834892499E-2</v>
      </c>
      <c r="O24" s="2">
        <f>B2-P24</f>
        <v>435</v>
      </c>
      <c r="P24">
        <v>565</v>
      </c>
      <c r="Q24" s="1">
        <f t="shared" si="0"/>
        <v>0.56499999999999995</v>
      </c>
    </row>
    <row r="25" spans="1:17" x14ac:dyDescent="0.25">
      <c r="A25">
        <v>4.1772481694156296</v>
      </c>
      <c r="B25">
        <v>0.62089027737337599</v>
      </c>
      <c r="C25">
        <v>2.3408194457268201</v>
      </c>
      <c r="D25">
        <v>0.34281648104979501</v>
      </c>
      <c r="E25">
        <v>0.86970128731485796</v>
      </c>
      <c r="F25">
        <v>0.14628239967953</v>
      </c>
      <c r="G25">
        <v>2.0389975200163799</v>
      </c>
      <c r="H25">
        <v>0.30154355959656898</v>
      </c>
      <c r="I25">
        <v>0.28664057778107499</v>
      </c>
      <c r="J25">
        <v>8.5779846587165295E-2</v>
      </c>
      <c r="K25">
        <v>1.9414384011027499</v>
      </c>
      <c r="L25">
        <v>0.281449510862819</v>
      </c>
      <c r="M25">
        <v>0.25287005945579299</v>
      </c>
      <c r="N25">
        <v>7.8678387701269697E-2</v>
      </c>
      <c r="O25" s="2">
        <f>B2-P25</f>
        <v>406</v>
      </c>
      <c r="P25">
        <v>594</v>
      </c>
      <c r="Q25" s="1">
        <f t="shared" si="0"/>
        <v>0.59399999999999997</v>
      </c>
    </row>
    <row r="26" spans="1:17" x14ac:dyDescent="0.25">
      <c r="A26">
        <v>4.5949729863572699</v>
      </c>
      <c r="B26">
        <v>0.66228296253160401</v>
      </c>
      <c r="C26">
        <v>2.42182315086318</v>
      </c>
      <c r="D26">
        <v>0.35831096999711998</v>
      </c>
      <c r="E26">
        <v>0.99319941541428902</v>
      </c>
      <c r="F26">
        <v>0.14457834828649699</v>
      </c>
      <c r="G26">
        <v>2.08812137408855</v>
      </c>
      <c r="H26">
        <v>0.31293230725652299</v>
      </c>
      <c r="I26">
        <v>0.301472371810033</v>
      </c>
      <c r="J26">
        <v>8.0667421266184702E-2</v>
      </c>
      <c r="K26">
        <v>1.9853064586308</v>
      </c>
      <c r="L26">
        <v>0.292076502118919</v>
      </c>
      <c r="M26">
        <v>0.26582796748038701</v>
      </c>
      <c r="N26">
        <v>7.3707454960234398E-2</v>
      </c>
      <c r="O26" s="2">
        <f>B2-P26</f>
        <v>390</v>
      </c>
      <c r="P26">
        <v>610</v>
      </c>
      <c r="Q26" s="1">
        <f t="shared" si="0"/>
        <v>0.61</v>
      </c>
    </row>
    <row r="27" spans="1:17" x14ac:dyDescent="0.25">
      <c r="A27">
        <v>5.0544702849929299</v>
      </c>
      <c r="B27">
        <v>0.70367564768982804</v>
      </c>
      <c r="C27">
        <v>2.41533131727385</v>
      </c>
      <c r="D27">
        <v>0.35868770096862601</v>
      </c>
      <c r="E27">
        <v>0.95852811972870899</v>
      </c>
      <c r="F27">
        <v>0.13968776599218399</v>
      </c>
      <c r="G27">
        <v>2.0985257811570301</v>
      </c>
      <c r="H27">
        <v>0.31560717697839402</v>
      </c>
      <c r="I27">
        <v>0.30460117335384401</v>
      </c>
      <c r="J27">
        <v>7.7541648384523806E-2</v>
      </c>
      <c r="K27">
        <v>1.99391040576315</v>
      </c>
      <c r="L27">
        <v>0.29432377709874902</v>
      </c>
      <c r="M27">
        <v>0.26836258741160701</v>
      </c>
      <c r="N27">
        <v>7.1326239277702402E-2</v>
      </c>
      <c r="O27" s="2">
        <f>B2-P27</f>
        <v>384</v>
      </c>
      <c r="P27">
        <v>616</v>
      </c>
      <c r="Q27" s="1">
        <f t="shared" si="0"/>
        <v>0.61599999999999999</v>
      </c>
    </row>
    <row r="28" spans="1:17" x14ac:dyDescent="0.25">
      <c r="A28">
        <v>5.5599173134922202</v>
      </c>
      <c r="B28">
        <v>0.74506833284805596</v>
      </c>
      <c r="C28">
        <v>2.38721578291565</v>
      </c>
      <c r="D28">
        <v>0.35732650860221699</v>
      </c>
      <c r="E28">
        <v>0.76868215489325098</v>
      </c>
      <c r="F28">
        <v>0.12887634876324899</v>
      </c>
      <c r="G28">
        <v>2.1196114610719499</v>
      </c>
      <c r="H28">
        <v>0.32050391979859999</v>
      </c>
      <c r="I28">
        <v>0.310966565505922</v>
      </c>
      <c r="J28">
        <v>7.4393472811205896E-2</v>
      </c>
      <c r="K28">
        <v>2.0127398362089401</v>
      </c>
      <c r="L28">
        <v>0.29889225491864702</v>
      </c>
      <c r="M28">
        <v>0.27392353866091801</v>
      </c>
      <c r="N28">
        <v>6.8310650248268504E-2</v>
      </c>
      <c r="O28" s="2">
        <f>B2-P28</f>
        <v>351</v>
      </c>
      <c r="P28">
        <v>649</v>
      </c>
      <c r="Q28" s="1">
        <f t="shared" si="0"/>
        <v>0.64900000000000002</v>
      </c>
    </row>
    <row r="29" spans="1:17" x14ac:dyDescent="0.25">
      <c r="A29">
        <v>6.1159090448414197</v>
      </c>
      <c r="B29">
        <v>0.78646101800627</v>
      </c>
      <c r="C29">
        <v>2.4462517015671801</v>
      </c>
      <c r="D29">
        <v>0.36833020360919699</v>
      </c>
      <c r="E29">
        <v>0.83573160538781999</v>
      </c>
      <c r="F29">
        <v>0.12746096434183499</v>
      </c>
      <c r="G29">
        <v>2.1420487895230602</v>
      </c>
      <c r="H29">
        <v>0.32598312320980899</v>
      </c>
      <c r="I29">
        <v>0.31771581315984199</v>
      </c>
      <c r="J29">
        <v>6.8353701353175797E-2</v>
      </c>
      <c r="K29">
        <v>2.0325259229344601</v>
      </c>
      <c r="L29">
        <v>0.30390014146081601</v>
      </c>
      <c r="M29">
        <v>0.27974440859315702</v>
      </c>
      <c r="N29">
        <v>6.2852049772573207E-2</v>
      </c>
      <c r="O29" s="2">
        <f>B2-P29</f>
        <v>357</v>
      </c>
      <c r="P29">
        <v>643</v>
      </c>
      <c r="Q29" s="1">
        <f t="shared" si="0"/>
        <v>0.64300000000000002</v>
      </c>
    </row>
    <row r="30" spans="1:17" x14ac:dyDescent="0.25">
      <c r="A30">
        <v>6.7274999493256296</v>
      </c>
      <c r="B30">
        <v>0.82785370316449902</v>
      </c>
      <c r="C30">
        <v>2.4485205536749599</v>
      </c>
      <c r="D30">
        <v>0.36522679885108</v>
      </c>
      <c r="E30">
        <v>0.92920252012693405</v>
      </c>
      <c r="F30">
        <v>0.138791929823845</v>
      </c>
      <c r="G30">
        <v>2.1105554655263199</v>
      </c>
      <c r="H30">
        <v>0.31842438726342198</v>
      </c>
      <c r="I30">
        <v>0.30823232561069802</v>
      </c>
      <c r="J30">
        <v>7.5642010949301702E-2</v>
      </c>
      <c r="K30">
        <v>2.0045621454103202</v>
      </c>
      <c r="L30">
        <v>0.29692017317146302</v>
      </c>
      <c r="M30">
        <v>0.27150878398144301</v>
      </c>
      <c r="N30">
        <v>6.9591425934485002E-2</v>
      </c>
      <c r="O30" s="2">
        <f>B2-P30</f>
        <v>316</v>
      </c>
      <c r="P30">
        <v>684</v>
      </c>
      <c r="Q30" s="1">
        <f t="shared" si="0"/>
        <v>0.68400000000000005</v>
      </c>
    </row>
    <row r="31" spans="1:17" x14ac:dyDescent="0.25">
      <c r="A31">
        <v>7.40024994425813</v>
      </c>
      <c r="B31">
        <v>0.86924638832272305</v>
      </c>
      <c r="C31">
        <v>2.42675405757775</v>
      </c>
      <c r="D31">
        <v>0.36332432646906498</v>
      </c>
      <c r="E31">
        <v>0.90987821668161395</v>
      </c>
      <c r="F31">
        <v>0.131589064171902</v>
      </c>
      <c r="G31">
        <v>2.1283952351343598</v>
      </c>
      <c r="H31">
        <v>0.322770382122049</v>
      </c>
      <c r="I31">
        <v>0.31359680638929499</v>
      </c>
      <c r="J31">
        <v>7.1209890869210105E-2</v>
      </c>
      <c r="K31">
        <v>2.0204131510869501</v>
      </c>
      <c r="L31">
        <v>0.30093253402299702</v>
      </c>
      <c r="M31">
        <v>0.27616923988175601</v>
      </c>
      <c r="N31">
        <v>6.5488093281292195E-2</v>
      </c>
      <c r="O31" s="2">
        <f>B2-P31</f>
        <v>309</v>
      </c>
      <c r="P31">
        <v>691</v>
      </c>
      <c r="Q31" s="1">
        <f t="shared" si="0"/>
        <v>0.69099999999999995</v>
      </c>
    </row>
    <row r="32" spans="1:17" x14ac:dyDescent="0.25">
      <c r="A32">
        <v>8.1402749386839304</v>
      </c>
      <c r="B32">
        <v>0.91063907348095496</v>
      </c>
      <c r="C32">
        <v>2.4402028984827702</v>
      </c>
      <c r="D32">
        <v>0.36363393238107899</v>
      </c>
      <c r="E32">
        <v>0.98984456253489905</v>
      </c>
      <c r="F32">
        <v>0.138152783367717</v>
      </c>
      <c r="G32">
        <v>2.1166851306871202</v>
      </c>
      <c r="H32">
        <v>0.31990167775060002</v>
      </c>
      <c r="I32">
        <v>0.31007981948049501</v>
      </c>
      <c r="J32">
        <v>7.4299840673541506E-2</v>
      </c>
      <c r="K32">
        <v>2.0099099730513501</v>
      </c>
      <c r="L32">
        <v>0.29825242931228702</v>
      </c>
      <c r="M32">
        <v>0.27308625580141499</v>
      </c>
      <c r="N32">
        <v>6.8434826724071404E-2</v>
      </c>
      <c r="O32" s="2">
        <f>B2-P32</f>
        <v>305</v>
      </c>
      <c r="P32">
        <v>695</v>
      </c>
      <c r="Q32" s="1">
        <f t="shared" si="0"/>
        <v>0.69499999999999995</v>
      </c>
    </row>
    <row r="33" spans="1:17" x14ac:dyDescent="0.25">
      <c r="A33">
        <v>8.9543024325524208</v>
      </c>
      <c r="B33">
        <v>0.95203175863917899</v>
      </c>
      <c r="C33">
        <v>2.4858878815562901</v>
      </c>
      <c r="D33">
        <v>0.36913648378367497</v>
      </c>
      <c r="E33">
        <v>1.19137860697072</v>
      </c>
      <c r="F33">
        <v>0.14517830076254001</v>
      </c>
      <c r="G33">
        <v>2.1177280115907</v>
      </c>
      <c r="H33">
        <v>0.32018628986610598</v>
      </c>
      <c r="I33">
        <v>0.310387818886175</v>
      </c>
      <c r="J33">
        <v>7.3822192473309206E-2</v>
      </c>
      <c r="K33">
        <v>2.0109216499346299</v>
      </c>
      <c r="L33">
        <v>0.29854135994837599</v>
      </c>
      <c r="M33">
        <v>0.27337733263899699</v>
      </c>
      <c r="N33">
        <v>6.7919776747733807E-2</v>
      </c>
      <c r="O33" s="2">
        <f>B2-P33</f>
        <v>302</v>
      </c>
      <c r="P33">
        <v>698</v>
      </c>
      <c r="Q33" s="1">
        <f t="shared" si="0"/>
        <v>0.69799999999999995</v>
      </c>
    </row>
    <row r="34" spans="1:17" x14ac:dyDescent="0.25">
      <c r="A34">
        <v>9.8497326758075907</v>
      </c>
      <c r="B34">
        <v>0.99342444379740302</v>
      </c>
      <c r="C34">
        <v>2.4998919240375299</v>
      </c>
      <c r="D34">
        <v>0.37131070272887601</v>
      </c>
      <c r="E34">
        <v>1.11601298797723</v>
      </c>
      <c r="F34">
        <v>0.14753499350888499</v>
      </c>
      <c r="G34">
        <v>2.1104880196078502</v>
      </c>
      <c r="H34">
        <v>0.31824337640675798</v>
      </c>
      <c r="I34">
        <v>0.30821504581116599</v>
      </c>
      <c r="J34">
        <v>7.6826682916206396E-2</v>
      </c>
      <c r="K34">
        <v>2.0051268939597202</v>
      </c>
      <c r="L34">
        <v>0.29697168076605801</v>
      </c>
      <c r="M34">
        <v>0.27167327151717902</v>
      </c>
      <c r="N34">
        <v>7.0145706959040099E-2</v>
      </c>
      <c r="O34" s="2">
        <f>B2-P34</f>
        <v>279</v>
      </c>
      <c r="P34">
        <v>721</v>
      </c>
      <c r="Q34" s="1">
        <f t="shared" si="0"/>
        <v>0.72099999999999997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4.1392685158224501E-2</v>
      </c>
      <c r="B37" s="1">
        <f>$D11</f>
        <v>6.2612639382600796E-2</v>
      </c>
      <c r="C37" s="1">
        <f t="shared" ref="C37:C60" si="1">B37-$E11</f>
        <v>4.8406885538523896E-2</v>
      </c>
      <c r="D37" s="1">
        <f t="shared" ref="D37:D60" si="2">B37+$E11</f>
        <v>7.6818393226677689E-2</v>
      </c>
      <c r="E37" s="1">
        <f>$B37-$F11</f>
        <v>1.1429360392477293E-2</v>
      </c>
      <c r="F37" s="1">
        <f>$B37+$F11</f>
        <v>0.11379591837272429</v>
      </c>
      <c r="G37" s="1">
        <f>$H11</f>
        <v>6.20242256030233E-2</v>
      </c>
      <c r="H37" s="1">
        <f>$G37-$I11</f>
        <v>3.1848017897499699E-2</v>
      </c>
      <c r="I37" s="1">
        <f>$G37+$I11</f>
        <v>9.2200433308546909E-2</v>
      </c>
      <c r="J37" s="1">
        <f>$G37-$J11</f>
        <v>1.6150714759546402E-2</v>
      </c>
      <c r="K37" s="1">
        <f>$G37+$J11</f>
        <v>0.10789773644650019</v>
      </c>
      <c r="L37" s="1">
        <f>$L11</f>
        <v>6.7133372016899895E-2</v>
      </c>
      <c r="M37" s="1">
        <f>$L37-$M11</f>
        <v>3.4459609970683792E-2</v>
      </c>
      <c r="N37" s="1">
        <f>$L37+$M11</f>
        <v>9.9807134063116004E-2</v>
      </c>
      <c r="O37" s="1">
        <f>$L37-$N11</f>
        <v>2.4583986653903794E-2</v>
      </c>
      <c r="P37" s="1">
        <f>$L37+$N11</f>
        <v>0.109682757379896</v>
      </c>
    </row>
    <row r="38" spans="1:17" x14ac:dyDescent="0.25">
      <c r="A38" s="1">
        <f t="shared" ref="A38:A60" si="3">$B12</f>
        <v>8.2785370316449197E-2</v>
      </c>
      <c r="B38" s="1">
        <f t="shared" ref="B38:B60" si="4">$D12</f>
        <v>0.12338989470394</v>
      </c>
      <c r="C38" s="1">
        <f t="shared" si="1"/>
        <v>6.9121027563679993E-3</v>
      </c>
      <c r="D38" s="1">
        <f t="shared" si="2"/>
        <v>0.23986768665151201</v>
      </c>
      <c r="E38" s="1">
        <f t="shared" ref="E38:E60" si="5">$B38-$F12</f>
        <v>1.8468169067229007E-2</v>
      </c>
      <c r="F38" s="1">
        <f t="shared" ref="F38:F60" si="6">$B38+$F12</f>
        <v>0.228311620340651</v>
      </c>
      <c r="G38" s="1">
        <f t="shared" ref="G38:G60" si="7">$H12</f>
        <v>0.11837185275336901</v>
      </c>
      <c r="H38" s="1">
        <f t="shared" ref="H38:H60" si="8">$G38-$I12</f>
        <v>3.8561921634729712E-2</v>
      </c>
      <c r="I38" s="1">
        <f t="shared" ref="I38:I60" si="9">$G38+$I12</f>
        <v>0.1981817838720083</v>
      </c>
      <c r="J38" s="1">
        <f t="shared" ref="J38:J60" si="10">$G38-$J12</f>
        <v>3.375702195567741E-2</v>
      </c>
      <c r="K38" s="1">
        <f t="shared" ref="K38:K60" si="11">$G38+$J12</f>
        <v>0.20298668355106059</v>
      </c>
      <c r="L38" s="1">
        <f t="shared" ref="L38:L60" si="12">$L12</f>
        <v>0.117909038842826</v>
      </c>
      <c r="M38" s="1">
        <f t="shared" ref="M38:M60" si="13">$L38-$M12</f>
        <v>4.1469622904504094E-2</v>
      </c>
      <c r="N38" s="1">
        <f t="shared" ref="N38:N60" si="14">$L38+$M12</f>
        <v>0.1943484547811479</v>
      </c>
      <c r="O38" s="1">
        <f t="shared" ref="O38:O60" si="15">$L38-$N12</f>
        <v>4.1962242671188199E-2</v>
      </c>
      <c r="P38" s="1">
        <f t="shared" ref="P38:P60" si="16">$L38+$N12</f>
        <v>0.1938558350144638</v>
      </c>
    </row>
    <row r="39" spans="1:17" x14ac:dyDescent="0.25">
      <c r="A39" s="1">
        <f t="shared" si="3"/>
        <v>0.124178055474673</v>
      </c>
      <c r="B39" s="1">
        <f t="shared" si="4"/>
        <v>0.183904004479755</v>
      </c>
      <c r="C39" s="1">
        <f t="shared" si="1"/>
        <v>-8.6869734011598004E-2</v>
      </c>
      <c r="D39" s="1">
        <f t="shared" si="2"/>
        <v>0.45467774297110797</v>
      </c>
      <c r="E39" s="1">
        <f t="shared" si="5"/>
        <v>4.5594059651142993E-2</v>
      </c>
      <c r="F39" s="1">
        <f t="shared" si="6"/>
        <v>0.322213949308367</v>
      </c>
      <c r="G39" s="1">
        <f t="shared" si="7"/>
        <v>0.17085041022081299</v>
      </c>
      <c r="H39" s="1">
        <f t="shared" si="8"/>
        <v>3.6699738885296984E-2</v>
      </c>
      <c r="I39" s="1">
        <f t="shared" si="9"/>
        <v>0.30500108155632899</v>
      </c>
      <c r="J39" s="1">
        <f t="shared" si="10"/>
        <v>6.6466576259924984E-2</v>
      </c>
      <c r="K39" s="1">
        <f t="shared" si="11"/>
        <v>0.275234244181701</v>
      </c>
      <c r="L39" s="1">
        <f t="shared" si="12"/>
        <v>0.16452798952814701</v>
      </c>
      <c r="M39" s="1">
        <f t="shared" si="13"/>
        <v>4.160887788055101E-2</v>
      </c>
      <c r="N39" s="1">
        <f t="shared" si="14"/>
        <v>0.28744710117574301</v>
      </c>
      <c r="O39" s="1">
        <f t="shared" si="15"/>
        <v>7.0917388651312918E-2</v>
      </c>
      <c r="P39" s="1">
        <f t="shared" si="16"/>
        <v>0.25813859040498111</v>
      </c>
    </row>
    <row r="40" spans="1:17" x14ac:dyDescent="0.25">
      <c r="A40" s="1">
        <f t="shared" si="3"/>
        <v>0.16557074063289901</v>
      </c>
      <c r="B40" s="1">
        <f t="shared" si="4"/>
        <v>0.215645130823366</v>
      </c>
      <c r="C40" s="1">
        <f t="shared" si="1"/>
        <v>-9.2067530591868008E-2</v>
      </c>
      <c r="D40" s="1">
        <f t="shared" si="2"/>
        <v>0.52335779223860002</v>
      </c>
      <c r="E40" s="1">
        <f t="shared" si="5"/>
        <v>7.4818922351012007E-2</v>
      </c>
      <c r="F40" s="1">
        <f t="shared" si="6"/>
        <v>0.35647133929572</v>
      </c>
      <c r="G40" s="1">
        <f t="shared" si="7"/>
        <v>0.201384229124036</v>
      </c>
      <c r="H40" s="1">
        <f t="shared" si="8"/>
        <v>3.3699825024520014E-2</v>
      </c>
      <c r="I40" s="1">
        <f t="shared" si="9"/>
        <v>0.36906863322355199</v>
      </c>
      <c r="J40" s="1">
        <f t="shared" si="10"/>
        <v>9.3055361477537998E-2</v>
      </c>
      <c r="K40" s="1">
        <f t="shared" si="11"/>
        <v>0.30971309677053399</v>
      </c>
      <c r="L40" s="1">
        <f t="shared" si="12"/>
        <v>0.191854855889803</v>
      </c>
      <c r="M40" s="1">
        <f t="shared" si="13"/>
        <v>4.0257074323454989E-2</v>
      </c>
      <c r="N40" s="1">
        <f t="shared" si="14"/>
        <v>0.34345263745615101</v>
      </c>
      <c r="O40" s="1">
        <f t="shared" si="15"/>
        <v>9.4708529506536299E-2</v>
      </c>
      <c r="P40" s="1">
        <f t="shared" si="16"/>
        <v>0.2890011822730697</v>
      </c>
    </row>
    <row r="41" spans="1:17" x14ac:dyDescent="0.25">
      <c r="A41" s="1">
        <f t="shared" si="3"/>
        <v>0.20696342579112501</v>
      </c>
      <c r="B41" s="1">
        <f t="shared" si="4"/>
        <v>0.24220927580611401</v>
      </c>
      <c r="C41" s="1">
        <f t="shared" si="1"/>
        <v>-8.7745827227185991E-2</v>
      </c>
      <c r="D41" s="1">
        <f t="shared" si="2"/>
        <v>0.57216437883941396</v>
      </c>
      <c r="E41" s="1">
        <f t="shared" si="5"/>
        <v>9.9615675911649021E-2</v>
      </c>
      <c r="F41" s="1">
        <f t="shared" si="6"/>
        <v>0.38480287570057903</v>
      </c>
      <c r="G41" s="1">
        <f t="shared" si="7"/>
        <v>0.22463038365906501</v>
      </c>
      <c r="H41" s="1">
        <f t="shared" si="8"/>
        <v>3.0740203059889004E-2</v>
      </c>
      <c r="I41" s="1">
        <f t="shared" si="9"/>
        <v>0.41852056425824102</v>
      </c>
      <c r="J41" s="1">
        <f t="shared" si="10"/>
        <v>0.11711622713250701</v>
      </c>
      <c r="K41" s="1">
        <f t="shared" si="11"/>
        <v>0.33214454018562301</v>
      </c>
      <c r="L41" s="1">
        <f t="shared" si="12"/>
        <v>0.21223739725916199</v>
      </c>
      <c r="M41" s="1">
        <f t="shared" si="13"/>
        <v>3.8541639350187978E-2</v>
      </c>
      <c r="N41" s="1">
        <f t="shared" si="14"/>
        <v>0.38593315516813598</v>
      </c>
      <c r="O41" s="1">
        <f t="shared" si="15"/>
        <v>0.11511307835832399</v>
      </c>
      <c r="P41" s="1">
        <f t="shared" si="16"/>
        <v>0.30936171615999997</v>
      </c>
    </row>
    <row r="42" spans="1:17" x14ac:dyDescent="0.25">
      <c r="A42" s="1">
        <f t="shared" si="3"/>
        <v>0.24835611094934701</v>
      </c>
      <c r="B42" s="1">
        <f t="shared" si="4"/>
        <v>0.27058681889534902</v>
      </c>
      <c r="C42" s="1">
        <f t="shared" si="1"/>
        <v>-0.13837668431862898</v>
      </c>
      <c r="D42" s="1">
        <f t="shared" si="2"/>
        <v>0.67955032210932709</v>
      </c>
      <c r="E42" s="1">
        <f t="shared" si="5"/>
        <v>0.12757695888789003</v>
      </c>
      <c r="F42" s="1">
        <f t="shared" si="6"/>
        <v>0.41359667890280805</v>
      </c>
      <c r="G42" s="1">
        <f t="shared" si="7"/>
        <v>0.25071026679567199</v>
      </c>
      <c r="H42" s="1">
        <f t="shared" si="8"/>
        <v>2.5531722647891997E-2</v>
      </c>
      <c r="I42" s="1">
        <f t="shared" si="9"/>
        <v>0.47588881094345198</v>
      </c>
      <c r="J42" s="1">
        <f t="shared" si="10"/>
        <v>0.14422924398151299</v>
      </c>
      <c r="K42" s="1">
        <f t="shared" si="11"/>
        <v>0.35719128960983099</v>
      </c>
      <c r="L42" s="1">
        <f t="shared" si="12"/>
        <v>0.23591568644824401</v>
      </c>
      <c r="M42" s="1">
        <f t="shared" si="13"/>
        <v>3.537265384017102E-2</v>
      </c>
      <c r="N42" s="1">
        <f t="shared" si="14"/>
        <v>0.436458719056317</v>
      </c>
      <c r="O42" s="1">
        <f t="shared" si="15"/>
        <v>0.13984383983272752</v>
      </c>
      <c r="P42" s="1">
        <f t="shared" si="16"/>
        <v>0.3319875330637605</v>
      </c>
    </row>
    <row r="43" spans="1:17" x14ac:dyDescent="0.25">
      <c r="A43" s="1">
        <f t="shared" si="3"/>
        <v>0.28974879610757398</v>
      </c>
      <c r="B43" s="1">
        <f t="shared" si="4"/>
        <v>0.28521428416660699</v>
      </c>
      <c r="C43" s="1">
        <f t="shared" si="1"/>
        <v>-0.346311432369377</v>
      </c>
      <c r="D43" s="1">
        <f t="shared" si="2"/>
        <v>0.91674000070259098</v>
      </c>
      <c r="E43" s="1">
        <f t="shared" si="5"/>
        <v>0.133636720479859</v>
      </c>
      <c r="F43" s="1">
        <f t="shared" si="6"/>
        <v>0.43679184785335501</v>
      </c>
      <c r="G43" s="1">
        <f t="shared" si="7"/>
        <v>0.25827397057736301</v>
      </c>
      <c r="H43" s="1">
        <f t="shared" si="8"/>
        <v>2.4502394936428001E-2</v>
      </c>
      <c r="I43" s="1">
        <f t="shared" si="9"/>
        <v>0.49204554621829799</v>
      </c>
      <c r="J43" s="1">
        <f t="shared" si="10"/>
        <v>0.15486637014353499</v>
      </c>
      <c r="K43" s="1">
        <f t="shared" si="11"/>
        <v>0.36168157101119103</v>
      </c>
      <c r="L43" s="1">
        <f t="shared" si="12"/>
        <v>0.24227788992758401</v>
      </c>
      <c r="M43" s="1">
        <f t="shared" si="13"/>
        <v>3.4718675959022005E-2</v>
      </c>
      <c r="N43" s="1">
        <f t="shared" si="14"/>
        <v>0.44983710389614601</v>
      </c>
      <c r="O43" s="1">
        <f t="shared" si="15"/>
        <v>0.14827167334902969</v>
      </c>
      <c r="P43" s="1">
        <f t="shared" si="16"/>
        <v>0.33628410650613832</v>
      </c>
    </row>
    <row r="44" spans="1:17" x14ac:dyDescent="0.25">
      <c r="A44" s="1">
        <f t="shared" si="3"/>
        <v>0.33114148126580201</v>
      </c>
      <c r="B44" s="1">
        <f t="shared" si="4"/>
        <v>0.30168900216419597</v>
      </c>
      <c r="C44" s="1">
        <f t="shared" si="1"/>
        <v>-0.38270508617982707</v>
      </c>
      <c r="D44" s="1">
        <f t="shared" si="2"/>
        <v>0.98608309050821896</v>
      </c>
      <c r="E44" s="1">
        <f t="shared" si="5"/>
        <v>0.14893113965629398</v>
      </c>
      <c r="F44" s="1">
        <f t="shared" si="6"/>
        <v>0.45444686467209794</v>
      </c>
      <c r="G44" s="1">
        <f t="shared" si="7"/>
        <v>0.269876456850279</v>
      </c>
      <c r="H44" s="1">
        <f t="shared" si="8"/>
        <v>2.1980824713831004E-2</v>
      </c>
      <c r="I44" s="1">
        <f t="shared" si="9"/>
        <v>0.517772088986727</v>
      </c>
      <c r="J44" s="1">
        <f t="shared" si="10"/>
        <v>0.169206201159849</v>
      </c>
      <c r="K44" s="1">
        <f t="shared" si="11"/>
        <v>0.37054671254070903</v>
      </c>
      <c r="L44" s="1">
        <f t="shared" si="12"/>
        <v>0.25296250694658201</v>
      </c>
      <c r="M44" s="1">
        <f t="shared" si="13"/>
        <v>3.314357061109402E-2</v>
      </c>
      <c r="N44" s="1">
        <f t="shared" si="14"/>
        <v>0.47278144328207</v>
      </c>
      <c r="O44" s="1">
        <f t="shared" si="15"/>
        <v>0.16157399794198271</v>
      </c>
      <c r="P44" s="1">
        <f t="shared" si="16"/>
        <v>0.34435101595118134</v>
      </c>
    </row>
    <row r="45" spans="1:17" x14ac:dyDescent="0.25">
      <c r="A45" s="1">
        <f t="shared" si="3"/>
        <v>0.37253416642402898</v>
      </c>
      <c r="B45" s="1">
        <f t="shared" si="4"/>
        <v>0.30586086324820499</v>
      </c>
      <c r="C45" s="1">
        <f t="shared" si="1"/>
        <v>-0.30863495942612401</v>
      </c>
      <c r="D45" s="1">
        <f t="shared" si="2"/>
        <v>0.92035668592253406</v>
      </c>
      <c r="E45" s="1">
        <f t="shared" si="5"/>
        <v>0.160292656119496</v>
      </c>
      <c r="F45" s="1">
        <f t="shared" si="6"/>
        <v>0.45142907037691399</v>
      </c>
      <c r="G45" s="1">
        <f t="shared" si="7"/>
        <v>0.27723145010852102</v>
      </c>
      <c r="H45" s="1">
        <f t="shared" si="8"/>
        <v>2.0352231134594001E-2</v>
      </c>
      <c r="I45" s="1">
        <f t="shared" si="9"/>
        <v>0.53411066908244798</v>
      </c>
      <c r="J45" s="1">
        <f t="shared" si="10"/>
        <v>0.17898087431031651</v>
      </c>
      <c r="K45" s="1">
        <f t="shared" si="11"/>
        <v>0.37548202590672553</v>
      </c>
      <c r="L45" s="1">
        <f t="shared" si="12"/>
        <v>0.25942793058083402</v>
      </c>
      <c r="M45" s="1">
        <f t="shared" si="13"/>
        <v>3.2074350123179024E-2</v>
      </c>
      <c r="N45" s="1">
        <f t="shared" si="14"/>
        <v>0.48678151103848899</v>
      </c>
      <c r="O45" s="1">
        <f t="shared" si="15"/>
        <v>0.16985178889904812</v>
      </c>
      <c r="P45" s="1">
        <f t="shared" si="16"/>
        <v>0.34900407226261992</v>
      </c>
    </row>
    <row r="46" spans="1:17" x14ac:dyDescent="0.25">
      <c r="A46" s="1">
        <f t="shared" si="3"/>
        <v>0.41392685158225401</v>
      </c>
      <c r="B46" s="1">
        <f t="shared" si="4"/>
        <v>0.32404588988562599</v>
      </c>
      <c r="C46" s="1">
        <f t="shared" si="1"/>
        <v>-0.55235190509293197</v>
      </c>
      <c r="D46" s="1">
        <f t="shared" si="2"/>
        <v>1.200443684864184</v>
      </c>
      <c r="E46" s="1">
        <f t="shared" si="5"/>
        <v>0.16864997009053198</v>
      </c>
      <c r="F46" s="1">
        <f t="shared" si="6"/>
        <v>0.47944180968072003</v>
      </c>
      <c r="G46" s="1">
        <f t="shared" si="7"/>
        <v>0.28508600861183903</v>
      </c>
      <c r="H46" s="1">
        <f t="shared" si="8"/>
        <v>1.8243327325853043E-2</v>
      </c>
      <c r="I46" s="1">
        <f t="shared" si="9"/>
        <v>0.55192868989782506</v>
      </c>
      <c r="J46" s="1">
        <f t="shared" si="10"/>
        <v>0.18873200683561642</v>
      </c>
      <c r="K46" s="1">
        <f t="shared" si="11"/>
        <v>0.38144001038806163</v>
      </c>
      <c r="L46" s="1">
        <f t="shared" si="12"/>
        <v>0.26651079742225597</v>
      </c>
      <c r="M46" s="1">
        <f t="shared" si="13"/>
        <v>3.0648231635617973E-2</v>
      </c>
      <c r="N46" s="1">
        <f t="shared" si="14"/>
        <v>0.50237336320889403</v>
      </c>
      <c r="O46" s="1">
        <f t="shared" si="15"/>
        <v>0.17843228483755208</v>
      </c>
      <c r="P46" s="1">
        <f t="shared" si="16"/>
        <v>0.35458931000695987</v>
      </c>
    </row>
    <row r="47" spans="1:17" x14ac:dyDescent="0.25">
      <c r="A47" s="1">
        <f t="shared" si="3"/>
        <v>0.45531953674048198</v>
      </c>
      <c r="B47" s="1">
        <f t="shared" si="4"/>
        <v>0.31966943124555203</v>
      </c>
      <c r="C47" s="1">
        <f t="shared" si="1"/>
        <v>-0.39185629352698692</v>
      </c>
      <c r="D47" s="1">
        <f t="shared" si="2"/>
        <v>1.031195156018091</v>
      </c>
      <c r="E47" s="1">
        <f t="shared" si="5"/>
        <v>0.17111749084867103</v>
      </c>
      <c r="F47" s="1">
        <f t="shared" si="6"/>
        <v>0.46822137164243305</v>
      </c>
      <c r="G47" s="1">
        <f t="shared" si="7"/>
        <v>0.28560578327748198</v>
      </c>
      <c r="H47" s="1">
        <f t="shared" si="8"/>
        <v>1.8330634329994988E-2</v>
      </c>
      <c r="I47" s="1">
        <f t="shared" si="9"/>
        <v>0.55288093222496904</v>
      </c>
      <c r="J47" s="1">
        <f t="shared" si="10"/>
        <v>0.19020705756025846</v>
      </c>
      <c r="K47" s="1">
        <f t="shared" si="11"/>
        <v>0.3810045089947055</v>
      </c>
      <c r="L47" s="1">
        <f t="shared" si="12"/>
        <v>0.26712079488774598</v>
      </c>
      <c r="M47" s="1">
        <f t="shared" si="13"/>
        <v>3.0766265241102986E-2</v>
      </c>
      <c r="N47" s="1">
        <f t="shared" si="14"/>
        <v>0.50347532453438903</v>
      </c>
      <c r="O47" s="1">
        <f t="shared" si="15"/>
        <v>0.18017233583026376</v>
      </c>
      <c r="P47" s="1">
        <f t="shared" si="16"/>
        <v>0.3540692539452282</v>
      </c>
    </row>
    <row r="48" spans="1:17" x14ac:dyDescent="0.25">
      <c r="A48" s="1">
        <f t="shared" si="3"/>
        <v>0.49671222189869702</v>
      </c>
      <c r="B48" s="1">
        <f t="shared" si="4"/>
        <v>0.33514349899330298</v>
      </c>
      <c r="C48" s="1">
        <f t="shared" si="1"/>
        <v>-0.46588066936253902</v>
      </c>
      <c r="D48" s="1">
        <f t="shared" si="2"/>
        <v>1.136167667349145</v>
      </c>
      <c r="E48" s="1">
        <f t="shared" si="5"/>
        <v>0.18799618030528198</v>
      </c>
      <c r="F48" s="1">
        <f t="shared" si="6"/>
        <v>0.48229081768132398</v>
      </c>
      <c r="G48" s="1">
        <f t="shared" si="7"/>
        <v>0.29645003625949701</v>
      </c>
      <c r="H48" s="1">
        <f t="shared" si="8"/>
        <v>1.5800338754501986E-2</v>
      </c>
      <c r="I48" s="1">
        <f t="shared" si="9"/>
        <v>0.57709973376449208</v>
      </c>
      <c r="J48" s="1">
        <f t="shared" si="10"/>
        <v>0.20638439669925951</v>
      </c>
      <c r="K48" s="1">
        <f t="shared" si="11"/>
        <v>0.38651567581973451</v>
      </c>
      <c r="L48" s="1">
        <f t="shared" si="12"/>
        <v>0.27694864848836598</v>
      </c>
      <c r="M48" s="1">
        <f t="shared" si="13"/>
        <v>2.9120825341663992E-2</v>
      </c>
      <c r="N48" s="1">
        <f t="shared" si="14"/>
        <v>0.52477647163506802</v>
      </c>
      <c r="O48" s="1">
        <f t="shared" si="15"/>
        <v>0.19465659827160198</v>
      </c>
      <c r="P48" s="1">
        <f t="shared" si="16"/>
        <v>0.35924069870512998</v>
      </c>
    </row>
    <row r="49" spans="1:16" x14ac:dyDescent="0.25">
      <c r="A49" s="1">
        <f t="shared" si="3"/>
        <v>0.53810490705692104</v>
      </c>
      <c r="B49" s="1">
        <f t="shared" si="4"/>
        <v>0.33710680048682901</v>
      </c>
      <c r="C49" s="1">
        <f t="shared" si="1"/>
        <v>-0.55115554143623502</v>
      </c>
      <c r="D49" s="1">
        <f t="shared" si="2"/>
        <v>1.2253691424098929</v>
      </c>
      <c r="E49" s="1">
        <f t="shared" si="5"/>
        <v>0.18932653567469801</v>
      </c>
      <c r="F49" s="1">
        <f t="shared" si="6"/>
        <v>0.48488706529895997</v>
      </c>
      <c r="G49" s="1">
        <f t="shared" si="7"/>
        <v>0.29847068851729802</v>
      </c>
      <c r="H49" s="1">
        <f t="shared" si="8"/>
        <v>1.5269796761858023E-2</v>
      </c>
      <c r="I49" s="1">
        <f t="shared" si="9"/>
        <v>0.58167158027273802</v>
      </c>
      <c r="J49" s="1">
        <f t="shared" si="10"/>
        <v>0.20935154350283552</v>
      </c>
      <c r="K49" s="1">
        <f t="shared" si="11"/>
        <v>0.38758983353176052</v>
      </c>
      <c r="L49" s="1">
        <f t="shared" si="12"/>
        <v>0.27890988679810302</v>
      </c>
      <c r="M49" s="1">
        <f t="shared" si="13"/>
        <v>2.8796728057979004E-2</v>
      </c>
      <c r="N49" s="1">
        <f t="shared" si="14"/>
        <v>0.52902304553822699</v>
      </c>
      <c r="O49" s="1">
        <f t="shared" si="15"/>
        <v>0.19772766381927104</v>
      </c>
      <c r="P49" s="1">
        <f t="shared" si="16"/>
        <v>0.36009210977693501</v>
      </c>
    </row>
    <row r="50" spans="1:16" x14ac:dyDescent="0.25">
      <c r="A50" s="1">
        <f t="shared" si="3"/>
        <v>0.57949759221514796</v>
      </c>
      <c r="B50" s="1">
        <f t="shared" si="4"/>
        <v>0.34897939392535399</v>
      </c>
      <c r="C50" s="1">
        <f t="shared" si="1"/>
        <v>-0.62410715322791499</v>
      </c>
      <c r="D50" s="1">
        <f t="shared" si="2"/>
        <v>1.3220659410786231</v>
      </c>
      <c r="E50" s="1">
        <f t="shared" si="5"/>
        <v>0.20144621095613199</v>
      </c>
      <c r="F50" s="1">
        <f t="shared" si="6"/>
        <v>0.49651257689457595</v>
      </c>
      <c r="G50" s="1">
        <f t="shared" si="7"/>
        <v>0.30580010315637901</v>
      </c>
      <c r="H50" s="1">
        <f t="shared" si="8"/>
        <v>1.3439317621287028E-2</v>
      </c>
      <c r="I50" s="1">
        <f t="shared" si="9"/>
        <v>0.59816088869147099</v>
      </c>
      <c r="J50" s="1">
        <f t="shared" si="10"/>
        <v>0.2209951702944925</v>
      </c>
      <c r="K50" s="1">
        <f t="shared" si="11"/>
        <v>0.39060503601826552</v>
      </c>
      <c r="L50" s="1">
        <f t="shared" si="12"/>
        <v>0.28542271974899702</v>
      </c>
      <c r="M50" s="1">
        <f t="shared" si="13"/>
        <v>2.7566451070939024E-2</v>
      </c>
      <c r="N50" s="1">
        <f t="shared" si="14"/>
        <v>0.54327898842705502</v>
      </c>
      <c r="O50" s="1">
        <f t="shared" si="15"/>
        <v>0.20773686091410454</v>
      </c>
      <c r="P50" s="1">
        <f t="shared" si="16"/>
        <v>0.36310857858388951</v>
      </c>
    </row>
    <row r="51" spans="1:16" x14ac:dyDescent="0.25">
      <c r="A51" s="1">
        <f t="shared" si="3"/>
        <v>0.62089027737337599</v>
      </c>
      <c r="B51" s="1">
        <f t="shared" si="4"/>
        <v>0.34281648104979501</v>
      </c>
      <c r="C51" s="1">
        <f t="shared" si="1"/>
        <v>-0.52688480626506295</v>
      </c>
      <c r="D51" s="1">
        <f t="shared" si="2"/>
        <v>1.2125177683646529</v>
      </c>
      <c r="E51" s="1">
        <f t="shared" si="5"/>
        <v>0.19653408137026501</v>
      </c>
      <c r="F51" s="1">
        <f t="shared" si="6"/>
        <v>0.489098880729325</v>
      </c>
      <c r="G51" s="1">
        <f t="shared" si="7"/>
        <v>0.30154355959656898</v>
      </c>
      <c r="H51" s="1">
        <f t="shared" si="8"/>
        <v>1.4902981815493987E-2</v>
      </c>
      <c r="I51" s="1">
        <f t="shared" si="9"/>
        <v>0.58818413737764397</v>
      </c>
      <c r="J51" s="1">
        <f t="shared" si="10"/>
        <v>0.21576371300940367</v>
      </c>
      <c r="K51" s="1">
        <f t="shared" si="11"/>
        <v>0.38732340618373429</v>
      </c>
      <c r="L51" s="1">
        <f t="shared" si="12"/>
        <v>0.281449510862819</v>
      </c>
      <c r="M51" s="1">
        <f t="shared" si="13"/>
        <v>2.8579451407026002E-2</v>
      </c>
      <c r="N51" s="1">
        <f t="shared" si="14"/>
        <v>0.53431957031861199</v>
      </c>
      <c r="O51" s="1">
        <f t="shared" si="15"/>
        <v>0.2027711231615493</v>
      </c>
      <c r="P51" s="1">
        <f t="shared" si="16"/>
        <v>0.36012789856408867</v>
      </c>
    </row>
    <row r="52" spans="1:16" x14ac:dyDescent="0.25">
      <c r="A52" s="1">
        <f t="shared" si="3"/>
        <v>0.66228296253160401</v>
      </c>
      <c r="B52" s="1">
        <f t="shared" si="4"/>
        <v>0.35831096999711998</v>
      </c>
      <c r="C52" s="1">
        <f t="shared" si="1"/>
        <v>-0.63488844541716905</v>
      </c>
      <c r="D52" s="1">
        <f t="shared" si="2"/>
        <v>1.351510385411409</v>
      </c>
      <c r="E52" s="1">
        <f t="shared" si="5"/>
        <v>0.21373262171062299</v>
      </c>
      <c r="F52" s="1">
        <f t="shared" si="6"/>
        <v>0.50288931828361694</v>
      </c>
      <c r="G52" s="1">
        <f t="shared" si="7"/>
        <v>0.31293230725652299</v>
      </c>
      <c r="H52" s="1">
        <f t="shared" si="8"/>
        <v>1.1459935446489988E-2</v>
      </c>
      <c r="I52" s="1">
        <f t="shared" si="9"/>
        <v>0.61440467906655605</v>
      </c>
      <c r="J52" s="1">
        <f t="shared" si="10"/>
        <v>0.23226488599033829</v>
      </c>
      <c r="K52" s="1">
        <f t="shared" si="11"/>
        <v>0.39359972852270769</v>
      </c>
      <c r="L52" s="1">
        <f t="shared" si="12"/>
        <v>0.292076502118919</v>
      </c>
      <c r="M52" s="1">
        <f t="shared" si="13"/>
        <v>2.6248534638531995E-2</v>
      </c>
      <c r="N52" s="1">
        <f t="shared" si="14"/>
        <v>0.55790446959930606</v>
      </c>
      <c r="O52" s="1">
        <f t="shared" si="15"/>
        <v>0.2183690471586846</v>
      </c>
      <c r="P52" s="1">
        <f t="shared" si="16"/>
        <v>0.3657839570791534</v>
      </c>
    </row>
    <row r="53" spans="1:16" x14ac:dyDescent="0.25">
      <c r="A53" s="1">
        <f t="shared" si="3"/>
        <v>0.70367564768982804</v>
      </c>
      <c r="B53" s="1">
        <f t="shared" si="4"/>
        <v>0.35868770096862601</v>
      </c>
      <c r="C53" s="1">
        <f t="shared" si="1"/>
        <v>-0.59984041876008298</v>
      </c>
      <c r="D53" s="1">
        <f t="shared" si="2"/>
        <v>1.317215820697335</v>
      </c>
      <c r="E53" s="1">
        <f t="shared" si="5"/>
        <v>0.21899993497644202</v>
      </c>
      <c r="F53" s="1">
        <f t="shared" si="6"/>
        <v>0.49837546696081003</v>
      </c>
      <c r="G53" s="1">
        <f t="shared" si="7"/>
        <v>0.31560717697839402</v>
      </c>
      <c r="H53" s="1">
        <f t="shared" si="8"/>
        <v>1.1006003624550009E-2</v>
      </c>
      <c r="I53" s="1">
        <f t="shared" si="9"/>
        <v>0.62020835033223798</v>
      </c>
      <c r="J53" s="1">
        <f t="shared" si="10"/>
        <v>0.2380655285938702</v>
      </c>
      <c r="K53" s="1">
        <f t="shared" si="11"/>
        <v>0.39314882536291784</v>
      </c>
      <c r="L53" s="1">
        <f t="shared" si="12"/>
        <v>0.29432377709874902</v>
      </c>
      <c r="M53" s="1">
        <f t="shared" si="13"/>
        <v>2.5961189687142006E-2</v>
      </c>
      <c r="N53" s="1">
        <f t="shared" si="14"/>
        <v>0.56268636451035603</v>
      </c>
      <c r="O53" s="1">
        <f t="shared" si="15"/>
        <v>0.22299753782104662</v>
      </c>
      <c r="P53" s="1">
        <f t="shared" si="16"/>
        <v>0.36565001637645145</v>
      </c>
    </row>
    <row r="54" spans="1:16" x14ac:dyDescent="0.25">
      <c r="A54" s="1">
        <f t="shared" si="3"/>
        <v>0.74506833284805596</v>
      </c>
      <c r="B54" s="1">
        <f t="shared" si="4"/>
        <v>0.35732650860221699</v>
      </c>
      <c r="C54" s="1">
        <f t="shared" si="1"/>
        <v>-0.41135564629103399</v>
      </c>
      <c r="D54" s="1">
        <f t="shared" si="2"/>
        <v>1.126008663495468</v>
      </c>
      <c r="E54" s="1">
        <f t="shared" si="5"/>
        <v>0.22845015983896799</v>
      </c>
      <c r="F54" s="1">
        <f t="shared" si="6"/>
        <v>0.48620285736546598</v>
      </c>
      <c r="G54" s="1">
        <f t="shared" si="7"/>
        <v>0.32050391979859999</v>
      </c>
      <c r="H54" s="1">
        <f t="shared" si="8"/>
        <v>9.5373542926779908E-3</v>
      </c>
      <c r="I54" s="1">
        <f t="shared" si="9"/>
        <v>0.63147048530452199</v>
      </c>
      <c r="J54" s="1">
        <f t="shared" si="10"/>
        <v>0.24611044698739409</v>
      </c>
      <c r="K54" s="1">
        <f t="shared" si="11"/>
        <v>0.39489739260980589</v>
      </c>
      <c r="L54" s="1">
        <f t="shared" si="12"/>
        <v>0.29889225491864702</v>
      </c>
      <c r="M54" s="1">
        <f t="shared" si="13"/>
        <v>2.4968716257729007E-2</v>
      </c>
      <c r="N54" s="1">
        <f t="shared" si="14"/>
        <v>0.57281579357956502</v>
      </c>
      <c r="O54" s="1">
        <f t="shared" si="15"/>
        <v>0.23058160467037853</v>
      </c>
      <c r="P54" s="1">
        <f t="shared" si="16"/>
        <v>0.36720290516691551</v>
      </c>
    </row>
    <row r="55" spans="1:16" x14ac:dyDescent="0.25">
      <c r="A55" s="1">
        <f t="shared" si="3"/>
        <v>0.78646101800627</v>
      </c>
      <c r="B55" s="1">
        <f t="shared" si="4"/>
        <v>0.36833020360919699</v>
      </c>
      <c r="C55" s="1">
        <f t="shared" si="1"/>
        <v>-0.46740140177862299</v>
      </c>
      <c r="D55" s="1">
        <f t="shared" si="2"/>
        <v>1.204061808997017</v>
      </c>
      <c r="E55" s="1">
        <f t="shared" si="5"/>
        <v>0.24086923926736201</v>
      </c>
      <c r="F55" s="1">
        <f t="shared" si="6"/>
        <v>0.49579116795103195</v>
      </c>
      <c r="G55" s="1">
        <f t="shared" si="7"/>
        <v>0.32598312320980899</v>
      </c>
      <c r="H55" s="1">
        <f t="shared" si="8"/>
        <v>8.2673100499670027E-3</v>
      </c>
      <c r="I55" s="1">
        <f t="shared" si="9"/>
        <v>0.64369893636965103</v>
      </c>
      <c r="J55" s="1">
        <f t="shared" si="10"/>
        <v>0.25762942185663318</v>
      </c>
      <c r="K55" s="1">
        <f t="shared" si="11"/>
        <v>0.3943368245629848</v>
      </c>
      <c r="L55" s="1">
        <f t="shared" si="12"/>
        <v>0.30390014146081601</v>
      </c>
      <c r="M55" s="1">
        <f t="shared" si="13"/>
        <v>2.4155732867658986E-2</v>
      </c>
      <c r="N55" s="1">
        <f t="shared" si="14"/>
        <v>0.58364455005397309</v>
      </c>
      <c r="O55" s="1">
        <f t="shared" si="15"/>
        <v>0.24104809168824282</v>
      </c>
      <c r="P55" s="1">
        <f t="shared" si="16"/>
        <v>0.3667521912333892</v>
      </c>
    </row>
    <row r="56" spans="1:16" x14ac:dyDescent="0.25">
      <c r="A56" s="1">
        <f t="shared" si="3"/>
        <v>0.82785370316449902</v>
      </c>
      <c r="B56" s="1">
        <f t="shared" si="4"/>
        <v>0.36522679885108</v>
      </c>
      <c r="C56" s="1">
        <f t="shared" si="1"/>
        <v>-0.56397572127585405</v>
      </c>
      <c r="D56" s="1">
        <f t="shared" si="2"/>
        <v>1.2944293189780141</v>
      </c>
      <c r="E56" s="1">
        <f t="shared" si="5"/>
        <v>0.226434869027235</v>
      </c>
      <c r="F56" s="1">
        <f t="shared" si="6"/>
        <v>0.50401872867492503</v>
      </c>
      <c r="G56" s="1">
        <f t="shared" si="7"/>
        <v>0.31842438726342198</v>
      </c>
      <c r="H56" s="1">
        <f t="shared" si="8"/>
        <v>1.019206165272396E-2</v>
      </c>
      <c r="I56" s="1">
        <f t="shared" si="9"/>
        <v>0.62665671287412006</v>
      </c>
      <c r="J56" s="1">
        <f t="shared" si="10"/>
        <v>0.24278237631412028</v>
      </c>
      <c r="K56" s="1">
        <f t="shared" si="11"/>
        <v>0.39406639821272371</v>
      </c>
      <c r="L56" s="1">
        <f t="shared" si="12"/>
        <v>0.29692017317146302</v>
      </c>
      <c r="M56" s="1">
        <f t="shared" si="13"/>
        <v>2.5411389190020006E-2</v>
      </c>
      <c r="N56" s="1">
        <f t="shared" si="14"/>
        <v>0.56842895715290598</v>
      </c>
      <c r="O56" s="1">
        <f t="shared" si="15"/>
        <v>0.22732874723697802</v>
      </c>
      <c r="P56" s="1">
        <f t="shared" si="16"/>
        <v>0.36651159910594799</v>
      </c>
    </row>
    <row r="57" spans="1:16" x14ac:dyDescent="0.25">
      <c r="A57" s="1">
        <f t="shared" si="3"/>
        <v>0.86924638832272305</v>
      </c>
      <c r="B57" s="1">
        <f t="shared" si="4"/>
        <v>0.36332432646906498</v>
      </c>
      <c r="C57" s="1">
        <f t="shared" si="1"/>
        <v>-0.54655389021254897</v>
      </c>
      <c r="D57" s="1">
        <f t="shared" si="2"/>
        <v>1.273202543150679</v>
      </c>
      <c r="E57" s="1">
        <f t="shared" si="5"/>
        <v>0.23173526229716299</v>
      </c>
      <c r="F57" s="1">
        <f t="shared" si="6"/>
        <v>0.49491339064096695</v>
      </c>
      <c r="G57" s="1">
        <f t="shared" si="7"/>
        <v>0.322770382122049</v>
      </c>
      <c r="H57" s="1">
        <f t="shared" si="8"/>
        <v>9.1735757327540135E-3</v>
      </c>
      <c r="I57" s="1">
        <f t="shared" si="9"/>
        <v>0.636367188511344</v>
      </c>
      <c r="J57" s="1">
        <f t="shared" si="10"/>
        <v>0.25156049125283891</v>
      </c>
      <c r="K57" s="1">
        <f t="shared" si="11"/>
        <v>0.3939802729912591</v>
      </c>
      <c r="L57" s="1">
        <f t="shared" si="12"/>
        <v>0.30093253402299702</v>
      </c>
      <c r="M57" s="1">
        <f t="shared" si="13"/>
        <v>2.476329414124101E-2</v>
      </c>
      <c r="N57" s="1">
        <f t="shared" si="14"/>
        <v>0.57710177390475303</v>
      </c>
      <c r="O57" s="1">
        <f t="shared" si="15"/>
        <v>0.23544444074170484</v>
      </c>
      <c r="P57" s="1">
        <f t="shared" si="16"/>
        <v>0.3664206273042892</v>
      </c>
    </row>
    <row r="58" spans="1:16" x14ac:dyDescent="0.25">
      <c r="A58" s="1">
        <f t="shared" si="3"/>
        <v>0.91063907348095496</v>
      </c>
      <c r="B58" s="1">
        <f t="shared" si="4"/>
        <v>0.36363393238107899</v>
      </c>
      <c r="C58" s="1">
        <f t="shared" si="1"/>
        <v>-0.62621063015382006</v>
      </c>
      <c r="D58" s="1">
        <f t="shared" si="2"/>
        <v>1.3534784949159779</v>
      </c>
      <c r="E58" s="1">
        <f t="shared" si="5"/>
        <v>0.225481149013362</v>
      </c>
      <c r="F58" s="1">
        <f t="shared" si="6"/>
        <v>0.50178671574879596</v>
      </c>
      <c r="G58" s="1">
        <f t="shared" si="7"/>
        <v>0.31990167775060002</v>
      </c>
      <c r="H58" s="1">
        <f t="shared" si="8"/>
        <v>9.8218582701050106E-3</v>
      </c>
      <c r="I58" s="1">
        <f t="shared" si="9"/>
        <v>0.62998149723109509</v>
      </c>
      <c r="J58" s="1">
        <f t="shared" si="10"/>
        <v>0.24560183707705852</v>
      </c>
      <c r="K58" s="1">
        <f t="shared" si="11"/>
        <v>0.39420151842414153</v>
      </c>
      <c r="L58" s="1">
        <f t="shared" si="12"/>
        <v>0.29825242931228702</v>
      </c>
      <c r="M58" s="1">
        <f t="shared" si="13"/>
        <v>2.5166173510872025E-2</v>
      </c>
      <c r="N58" s="1">
        <f t="shared" si="14"/>
        <v>0.57133868511370201</v>
      </c>
      <c r="O58" s="1">
        <f t="shared" si="15"/>
        <v>0.2298176025882156</v>
      </c>
      <c r="P58" s="1">
        <f t="shared" si="16"/>
        <v>0.36668725603635843</v>
      </c>
    </row>
    <row r="59" spans="1:16" x14ac:dyDescent="0.25">
      <c r="A59" s="1">
        <f t="shared" si="3"/>
        <v>0.95203175863917899</v>
      </c>
      <c r="B59" s="1">
        <f t="shared" si="4"/>
        <v>0.36913648378367497</v>
      </c>
      <c r="C59" s="1">
        <f t="shared" si="1"/>
        <v>-0.82224212318704493</v>
      </c>
      <c r="D59" s="1">
        <f t="shared" si="2"/>
        <v>1.560515090754395</v>
      </c>
      <c r="E59" s="1">
        <f t="shared" si="5"/>
        <v>0.22395818302113496</v>
      </c>
      <c r="F59" s="1">
        <f t="shared" si="6"/>
        <v>0.51431478454621504</v>
      </c>
      <c r="G59" s="1">
        <f t="shared" si="7"/>
        <v>0.32018628986610598</v>
      </c>
      <c r="H59" s="1">
        <f t="shared" si="8"/>
        <v>9.7984709799309733E-3</v>
      </c>
      <c r="I59" s="1">
        <f t="shared" si="9"/>
        <v>0.63057410875228093</v>
      </c>
      <c r="J59" s="1">
        <f t="shared" si="10"/>
        <v>0.24636409739279677</v>
      </c>
      <c r="K59" s="1">
        <f t="shared" si="11"/>
        <v>0.39400848233941521</v>
      </c>
      <c r="L59" s="1">
        <f t="shared" si="12"/>
        <v>0.29854135994837599</v>
      </c>
      <c r="M59" s="1">
        <f t="shared" si="13"/>
        <v>2.5164027309379E-2</v>
      </c>
      <c r="N59" s="1">
        <f t="shared" si="14"/>
        <v>0.57191869258737293</v>
      </c>
      <c r="O59" s="1">
        <f t="shared" si="15"/>
        <v>0.23062158320064219</v>
      </c>
      <c r="P59" s="1">
        <f t="shared" si="16"/>
        <v>0.3664611366961098</v>
      </c>
    </row>
    <row r="60" spans="1:16" x14ac:dyDescent="0.25">
      <c r="A60" s="1">
        <f t="shared" si="3"/>
        <v>0.99342444379740302</v>
      </c>
      <c r="B60" s="1">
        <f t="shared" si="4"/>
        <v>0.37131070272887601</v>
      </c>
      <c r="C60" s="1">
        <f t="shared" si="1"/>
        <v>-0.74470228524835402</v>
      </c>
      <c r="D60" s="1">
        <f t="shared" si="2"/>
        <v>1.487323690706106</v>
      </c>
      <c r="E60" s="1">
        <f t="shared" si="5"/>
        <v>0.22377570921999101</v>
      </c>
      <c r="F60" s="1">
        <f t="shared" si="6"/>
        <v>0.518845696237761</v>
      </c>
      <c r="G60" s="1">
        <f t="shared" si="7"/>
        <v>0.31824337640675798</v>
      </c>
      <c r="H60" s="1">
        <f t="shared" si="8"/>
        <v>1.0028330595591994E-2</v>
      </c>
      <c r="I60" s="1">
        <f t="shared" si="9"/>
        <v>0.62645842221792392</v>
      </c>
      <c r="J60" s="1">
        <f t="shared" si="10"/>
        <v>0.24141669349055159</v>
      </c>
      <c r="K60" s="1">
        <f t="shared" si="11"/>
        <v>0.39507005932296435</v>
      </c>
      <c r="L60" s="1">
        <f t="shared" si="12"/>
        <v>0.29697168076605801</v>
      </c>
      <c r="M60" s="1">
        <f t="shared" si="13"/>
        <v>2.5298409248878995E-2</v>
      </c>
      <c r="N60" s="1">
        <f t="shared" si="14"/>
        <v>0.56864495228323708</v>
      </c>
      <c r="O60" s="1">
        <f t="shared" si="15"/>
        <v>0.22682597380701791</v>
      </c>
      <c r="P60" s="1">
        <f t="shared" si="16"/>
        <v>0.36711738772509811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Q10" sqref="Q10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32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1.13431295786057</v>
      </c>
      <c r="D11">
        <v>5.3047957161461101E-2</v>
      </c>
      <c r="E11">
        <v>9.0775614124385499E-3</v>
      </c>
      <c r="F11">
        <v>3.1366176666456302E-2</v>
      </c>
      <c r="G11">
        <v>1.1304011903020701</v>
      </c>
      <c r="H11">
        <v>5.2570061177371598E-2</v>
      </c>
      <c r="I11">
        <v>1.48677474761502E-2</v>
      </c>
      <c r="J11">
        <v>2.29826405779592E-2</v>
      </c>
      <c r="K11">
        <v>1.143557028691</v>
      </c>
      <c r="L11">
        <v>5.7370261629299098E-2</v>
      </c>
      <c r="M11">
        <v>1.70873254618082E-2</v>
      </c>
      <c r="N11">
        <v>2.6807106549006601E-2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8.2785370316449003E-2</v>
      </c>
      <c r="C12">
        <v>1.3098405135123301</v>
      </c>
      <c r="D12">
        <v>0.109946655465942</v>
      </c>
      <c r="E12">
        <v>4.36256563016394E-2</v>
      </c>
      <c r="F12">
        <v>6.9395611118696604E-2</v>
      </c>
      <c r="G12">
        <v>1.30342834468966</v>
      </c>
      <c r="H12">
        <v>0.109009927945467</v>
      </c>
      <c r="I12">
        <v>4.6349818300732801E-2</v>
      </c>
      <c r="J12">
        <v>6.4393823091805094E-2</v>
      </c>
      <c r="K12">
        <v>1.3272597149349099</v>
      </c>
      <c r="L12">
        <v>0.117009952839665</v>
      </c>
      <c r="M12">
        <v>5.0737820027056298E-2</v>
      </c>
      <c r="N12">
        <v>6.5079846015415402E-2</v>
      </c>
      <c r="O12" s="2">
        <f>B2-P12</f>
        <v>1000</v>
      </c>
      <c r="P12">
        <v>0</v>
      </c>
      <c r="Q12" s="1">
        <f t="shared" ref="Q12:Q34" si="0">P12/1000</f>
        <v>0</v>
      </c>
    </row>
    <row r="13" spans="1:17" x14ac:dyDescent="0.25">
      <c r="A13">
        <v>1.33099999999998</v>
      </c>
      <c r="B13">
        <v>0.124178055474673</v>
      </c>
      <c r="C13">
        <v>1.58515347148106</v>
      </c>
      <c r="D13">
        <v>0.171966421559958</v>
      </c>
      <c r="E13">
        <v>0.94619531335766005</v>
      </c>
      <c r="F13">
        <v>0.13123871784682301</v>
      </c>
      <c r="G13">
        <v>1.5258870108439</v>
      </c>
      <c r="H13">
        <v>0.16506108447960399</v>
      </c>
      <c r="I13">
        <v>8.89030889828719E-2</v>
      </c>
      <c r="J13">
        <v>0.110245400724161</v>
      </c>
      <c r="K13">
        <v>1.5476794789366699</v>
      </c>
      <c r="L13">
        <v>0.17329294669050299</v>
      </c>
      <c r="M13">
        <v>9.2512229415455394E-2</v>
      </c>
      <c r="N13">
        <v>0.106126794810735</v>
      </c>
      <c r="O13" s="2">
        <f>B2-P13</f>
        <v>994</v>
      </c>
      <c r="P13">
        <v>6</v>
      </c>
      <c r="Q13" s="1">
        <f t="shared" si="0"/>
        <v>6.0000000000000001E-3</v>
      </c>
    </row>
    <row r="14" spans="1:17" x14ac:dyDescent="0.25">
      <c r="A14">
        <v>1.46409999999998</v>
      </c>
      <c r="B14">
        <v>0.16557074063289801</v>
      </c>
      <c r="C14">
        <v>2.19092385664782</v>
      </c>
      <c r="D14">
        <v>0.25693041329876898</v>
      </c>
      <c r="E14">
        <v>21.2928553436989</v>
      </c>
      <c r="F14">
        <v>0.21680112863984499</v>
      </c>
      <c r="G14">
        <v>1.9026915204445101</v>
      </c>
      <c r="H14">
        <v>0.23717574081736201</v>
      </c>
      <c r="I14">
        <v>0.15622774191911401</v>
      </c>
      <c r="J14">
        <v>0.168156922277062</v>
      </c>
      <c r="K14">
        <v>1.8994058940299801</v>
      </c>
      <c r="L14">
        <v>0.24329794168357799</v>
      </c>
      <c r="M14">
        <v>0.153377483833815</v>
      </c>
      <c r="N14">
        <v>0.15628796978675299</v>
      </c>
      <c r="O14" s="2">
        <f>B2-P14</f>
        <v>987</v>
      </c>
      <c r="P14">
        <v>13</v>
      </c>
      <c r="Q14" s="1">
        <f t="shared" si="0"/>
        <v>1.2999999999999999E-2</v>
      </c>
    </row>
    <row r="15" spans="1:17" x14ac:dyDescent="0.25">
      <c r="A15">
        <v>1.6105099999999799</v>
      </c>
      <c r="B15">
        <v>0.20696342579112301</v>
      </c>
      <c r="C15">
        <v>2.5442072772798898</v>
      </c>
      <c r="D15">
        <v>0.317064886500038</v>
      </c>
      <c r="E15">
        <v>24.906243697472899</v>
      </c>
      <c r="F15">
        <v>0.23472689718711701</v>
      </c>
      <c r="G15">
        <v>2.1969031053683299</v>
      </c>
      <c r="H15">
        <v>0.29229063434431501</v>
      </c>
      <c r="I15">
        <v>0.209595100601705</v>
      </c>
      <c r="J15">
        <v>0.188036392078299</v>
      </c>
      <c r="K15">
        <v>2.1693712028089802</v>
      </c>
      <c r="L15">
        <v>0.29515154124128001</v>
      </c>
      <c r="M15">
        <v>0.20063691035380901</v>
      </c>
      <c r="N15">
        <v>0.17346530124526899</v>
      </c>
      <c r="O15" s="2">
        <f>B2-P15</f>
        <v>963</v>
      </c>
      <c r="P15">
        <v>37</v>
      </c>
      <c r="Q15" s="1">
        <f t="shared" si="0"/>
        <v>3.6999999999999998E-2</v>
      </c>
    </row>
    <row r="16" spans="1:17" x14ac:dyDescent="0.25">
      <c r="A16">
        <v>1.7715610000000099</v>
      </c>
      <c r="B16">
        <v>0.24835611094934601</v>
      </c>
      <c r="C16">
        <v>3.1557811190252099</v>
      </c>
      <c r="D16">
        <v>0.37925316985290097</v>
      </c>
      <c r="E16">
        <v>52.094884530965601</v>
      </c>
      <c r="F16">
        <v>0.28060506363906601</v>
      </c>
      <c r="G16">
        <v>2.5374328814981002</v>
      </c>
      <c r="H16">
        <v>0.34283434611338698</v>
      </c>
      <c r="I16">
        <v>0.26603774244700301</v>
      </c>
      <c r="J16">
        <v>0.21631683713329999</v>
      </c>
      <c r="K16">
        <v>2.4722725071504201</v>
      </c>
      <c r="L16">
        <v>0.34225331439383799</v>
      </c>
      <c r="M16">
        <v>0.24777155808040499</v>
      </c>
      <c r="N16">
        <v>0.19785338971678501</v>
      </c>
      <c r="O16" s="2">
        <f>B2-P16</f>
        <v>935</v>
      </c>
      <c r="P16">
        <v>65</v>
      </c>
      <c r="Q16" s="1">
        <f t="shared" si="0"/>
        <v>6.5000000000000002E-2</v>
      </c>
    </row>
    <row r="17" spans="1:17" x14ac:dyDescent="0.25">
      <c r="A17">
        <v>1.9487171000000101</v>
      </c>
      <c r="B17">
        <v>0.28974879610757398</v>
      </c>
      <c r="C17">
        <v>3.2210879718114702</v>
      </c>
      <c r="D17">
        <v>0.40168365773891102</v>
      </c>
      <c r="E17">
        <v>45.193394710798998</v>
      </c>
      <c r="F17">
        <v>0.26930024638799299</v>
      </c>
      <c r="G17">
        <v>2.5895735926669898</v>
      </c>
      <c r="H17">
        <v>0.35825481175047902</v>
      </c>
      <c r="I17">
        <v>0.27815646850987802</v>
      </c>
      <c r="J17">
        <v>0.20498970605469399</v>
      </c>
      <c r="K17">
        <v>2.52443115905742</v>
      </c>
      <c r="L17">
        <v>0.35688791179450002</v>
      </c>
      <c r="M17">
        <v>0.25978540368973302</v>
      </c>
      <c r="N17">
        <v>0.187250456421271</v>
      </c>
      <c r="O17" s="2">
        <f>B2-P17</f>
        <v>917</v>
      </c>
      <c r="P17">
        <v>83</v>
      </c>
      <c r="Q17" s="1">
        <f t="shared" si="0"/>
        <v>8.3000000000000004E-2</v>
      </c>
    </row>
    <row r="18" spans="1:17" x14ac:dyDescent="0.25">
      <c r="A18">
        <v>2.1435888099999798</v>
      </c>
      <c r="B18">
        <v>0.33114148126579901</v>
      </c>
      <c r="C18">
        <v>3.72814994112295</v>
      </c>
      <c r="D18">
        <v>0.44754730764697398</v>
      </c>
      <c r="E18">
        <v>73.091094019291205</v>
      </c>
      <c r="F18">
        <v>0.29458297525668098</v>
      </c>
      <c r="G18">
        <v>2.8750288933488801</v>
      </c>
      <c r="H18">
        <v>0.39821249776853801</v>
      </c>
      <c r="I18">
        <v>0.324510126980464</v>
      </c>
      <c r="J18">
        <v>0.22039106028156799</v>
      </c>
      <c r="K18">
        <v>2.7730779453455598</v>
      </c>
      <c r="L18">
        <v>0.39294569694929699</v>
      </c>
      <c r="M18">
        <v>0.29721395264302197</v>
      </c>
      <c r="N18">
        <v>0.201243177991908</v>
      </c>
      <c r="O18" s="2">
        <f>B2-P18</f>
        <v>894</v>
      </c>
      <c r="P18">
        <v>106</v>
      </c>
      <c r="Q18" s="1">
        <f t="shared" si="0"/>
        <v>0.106</v>
      </c>
    </row>
    <row r="19" spans="1:17" x14ac:dyDescent="0.25">
      <c r="A19">
        <v>2.3579476909999699</v>
      </c>
      <c r="B19">
        <v>0.37253416642402998</v>
      </c>
      <c r="C19">
        <v>4.0676046058489002</v>
      </c>
      <c r="D19">
        <v>0.48832115254437197</v>
      </c>
      <c r="E19">
        <v>83.995035253488595</v>
      </c>
      <c r="F19">
        <v>0.298303991536156</v>
      </c>
      <c r="G19">
        <v>3.1010845083540501</v>
      </c>
      <c r="H19">
        <v>0.43169786949296102</v>
      </c>
      <c r="I19">
        <v>0.36239716879205502</v>
      </c>
      <c r="J19">
        <v>0.22367240904713601</v>
      </c>
      <c r="K19">
        <v>2.9755590384878499</v>
      </c>
      <c r="L19">
        <v>0.42426300408982198</v>
      </c>
      <c r="M19">
        <v>0.32920261613878399</v>
      </c>
      <c r="N19">
        <v>0.20340635753031699</v>
      </c>
      <c r="O19" s="2">
        <f>B2-P19</f>
        <v>852</v>
      </c>
      <c r="P19">
        <v>148</v>
      </c>
      <c r="Q19" s="1">
        <f t="shared" si="0"/>
        <v>0.14799999999999999</v>
      </c>
    </row>
    <row r="20" spans="1:17" x14ac:dyDescent="0.25">
      <c r="A20">
        <v>2.5937424600999801</v>
      </c>
      <c r="B20">
        <v>0.41392685158224901</v>
      </c>
      <c r="C20">
        <v>4.1046909913930003</v>
      </c>
      <c r="D20">
        <v>0.50520128908427098</v>
      </c>
      <c r="E20">
        <v>69.170111188870905</v>
      </c>
      <c r="F20">
        <v>0.28718498087290001</v>
      </c>
      <c r="G20">
        <v>3.2806166757586199</v>
      </c>
      <c r="H20">
        <v>0.455845633300417</v>
      </c>
      <c r="I20">
        <v>0.39116673003400299</v>
      </c>
      <c r="J20">
        <v>0.22771354384051001</v>
      </c>
      <c r="K20">
        <v>3.13070848886625</v>
      </c>
      <c r="L20">
        <v>0.44583371305838199</v>
      </c>
      <c r="M20">
        <v>0.352082113930683</v>
      </c>
      <c r="N20">
        <v>0.20735486827307201</v>
      </c>
      <c r="O20" s="2">
        <f>B2-P20</f>
        <v>801</v>
      </c>
      <c r="P20">
        <v>199</v>
      </c>
      <c r="Q20" s="1">
        <f t="shared" si="0"/>
        <v>0.19900000000000001</v>
      </c>
    </row>
    <row r="21" spans="1:17" x14ac:dyDescent="0.25">
      <c r="A21">
        <v>2.8531167061100402</v>
      </c>
      <c r="B21">
        <v>0.45531953674048398</v>
      </c>
      <c r="C21">
        <v>4.4063381856812498</v>
      </c>
      <c r="D21">
        <v>0.52544892482499395</v>
      </c>
      <c r="E21">
        <v>93.562650475898394</v>
      </c>
      <c r="F21">
        <v>0.29943953569805498</v>
      </c>
      <c r="G21">
        <v>3.35758900013658</v>
      </c>
      <c r="H21">
        <v>0.46849483775286899</v>
      </c>
      <c r="I21">
        <v>0.40459082181837802</v>
      </c>
      <c r="J21">
        <v>0.22358471049800599</v>
      </c>
      <c r="K21">
        <v>3.2016032798120002</v>
      </c>
      <c r="L21">
        <v>0.45799850494234001</v>
      </c>
      <c r="M21">
        <v>0.36392621644487899</v>
      </c>
      <c r="N21">
        <v>0.20278030094614699</v>
      </c>
      <c r="O21" s="2">
        <f>B2-P21</f>
        <v>777</v>
      </c>
      <c r="P21">
        <v>223</v>
      </c>
      <c r="Q21" s="1">
        <f t="shared" si="0"/>
        <v>0.223</v>
      </c>
    </row>
    <row r="22" spans="1:17" x14ac:dyDescent="0.25">
      <c r="A22">
        <v>3.1384283767210399</v>
      </c>
      <c r="B22">
        <v>0.49671222189869402</v>
      </c>
      <c r="C22">
        <v>4.8501883652100197</v>
      </c>
      <c r="D22">
        <v>0.56439897176595799</v>
      </c>
      <c r="E22">
        <v>119.82692639541899</v>
      </c>
      <c r="F22">
        <v>0.30547019144123599</v>
      </c>
      <c r="G22">
        <v>3.6242334401109901</v>
      </c>
      <c r="H22">
        <v>0.50382246129302199</v>
      </c>
      <c r="I22">
        <v>0.447050029898867</v>
      </c>
      <c r="J22">
        <v>0.224044358121258</v>
      </c>
      <c r="K22">
        <v>3.4322023313454402</v>
      </c>
      <c r="L22">
        <v>0.489686358233686</v>
      </c>
      <c r="M22">
        <v>0.39766611730622797</v>
      </c>
      <c r="N22">
        <v>0.203465963001524</v>
      </c>
      <c r="O22" s="2">
        <f>B2-P22</f>
        <v>796</v>
      </c>
      <c r="P22">
        <v>204</v>
      </c>
      <c r="Q22" s="1">
        <f t="shared" si="0"/>
        <v>0.20399999999999999</v>
      </c>
    </row>
    <row r="23" spans="1:17" x14ac:dyDescent="0.25">
      <c r="A23">
        <v>3.4522712143930501</v>
      </c>
      <c r="B23">
        <v>0.53810490705693004</v>
      </c>
      <c r="C23">
        <v>4.7674321809756401</v>
      </c>
      <c r="D23">
        <v>0.57376091211740299</v>
      </c>
      <c r="E23">
        <v>99.9742921425117</v>
      </c>
      <c r="F23">
        <v>0.28489473092417</v>
      </c>
      <c r="G23">
        <v>3.7197754439527002</v>
      </c>
      <c r="H23">
        <v>0.51835841404703697</v>
      </c>
      <c r="I23">
        <v>0.46330976197628598</v>
      </c>
      <c r="J23">
        <v>0.21845199909247101</v>
      </c>
      <c r="K23">
        <v>3.5171030577903299</v>
      </c>
      <c r="L23">
        <v>0.50298898153334903</v>
      </c>
      <c r="M23">
        <v>0.41129214386070001</v>
      </c>
      <c r="N23">
        <v>0.198342060688764</v>
      </c>
      <c r="O23" s="2">
        <f>B2-P23</f>
        <v>762</v>
      </c>
      <c r="P23">
        <v>238</v>
      </c>
      <c r="Q23" s="1">
        <f t="shared" si="0"/>
        <v>0.23799999999999999</v>
      </c>
    </row>
    <row r="24" spans="1:17" x14ac:dyDescent="0.25">
      <c r="A24">
        <v>3.7974983358323602</v>
      </c>
      <c r="B24">
        <v>0.57949759221514796</v>
      </c>
      <c r="C24">
        <v>5.0558706678113197</v>
      </c>
      <c r="D24">
        <v>0.59283427179047798</v>
      </c>
      <c r="E24">
        <v>118.926380820017</v>
      </c>
      <c r="F24">
        <v>0.29719359633804998</v>
      </c>
      <c r="G24">
        <v>3.79266556229955</v>
      </c>
      <c r="H24">
        <v>0.52730073625033502</v>
      </c>
      <c r="I24">
        <v>0.47459506284379499</v>
      </c>
      <c r="J24">
        <v>0.218823607624162</v>
      </c>
      <c r="K24">
        <v>3.58039301132687</v>
      </c>
      <c r="L24">
        <v>0.51117545545544896</v>
      </c>
      <c r="M24">
        <v>0.420236797653745</v>
      </c>
      <c r="N24">
        <v>0.19849016391992799</v>
      </c>
      <c r="O24" s="2">
        <f>B2-P24</f>
        <v>703</v>
      </c>
      <c r="P24">
        <v>297</v>
      </c>
      <c r="Q24" s="1">
        <f t="shared" si="0"/>
        <v>0.29699999999999999</v>
      </c>
    </row>
    <row r="25" spans="1:17" x14ac:dyDescent="0.25">
      <c r="A25">
        <v>4.1772481694156296</v>
      </c>
      <c r="B25">
        <v>0.620890277373365</v>
      </c>
      <c r="C25">
        <v>5.3608028643938797</v>
      </c>
      <c r="D25">
        <v>0.61635254698418296</v>
      </c>
      <c r="E25">
        <v>135.35776476557001</v>
      </c>
      <c r="F25">
        <v>0.302858889781702</v>
      </c>
      <c r="G25">
        <v>3.9081639653567102</v>
      </c>
      <c r="H25">
        <v>0.54221522687592205</v>
      </c>
      <c r="I25">
        <v>0.49286717631582999</v>
      </c>
      <c r="J25">
        <v>0.216745636959502</v>
      </c>
      <c r="K25">
        <v>3.6814095540988698</v>
      </c>
      <c r="L25">
        <v>0.52487381414711198</v>
      </c>
      <c r="M25">
        <v>0.43496214901930302</v>
      </c>
      <c r="N25">
        <v>0.196290307988087</v>
      </c>
      <c r="O25" s="2">
        <f>B2-P25</f>
        <v>699</v>
      </c>
      <c r="P25">
        <v>301</v>
      </c>
      <c r="Q25" s="1">
        <f t="shared" si="0"/>
        <v>0.30099999999999999</v>
      </c>
    </row>
    <row r="26" spans="1:17" x14ac:dyDescent="0.25">
      <c r="A26">
        <v>4.5949729863572903</v>
      </c>
      <c r="B26">
        <v>0.66228296253160501</v>
      </c>
      <c r="C26">
        <v>5.4763206553671901</v>
      </c>
      <c r="D26">
        <v>0.62601247295203499</v>
      </c>
      <c r="E26">
        <v>142.58570695957599</v>
      </c>
      <c r="F26">
        <v>0.30258986319572001</v>
      </c>
      <c r="G26">
        <v>4.0047389516523202</v>
      </c>
      <c r="H26">
        <v>0.55480972640794102</v>
      </c>
      <c r="I26">
        <v>0.50813600307308904</v>
      </c>
      <c r="J26">
        <v>0.21371988183173601</v>
      </c>
      <c r="K26">
        <v>3.7648281346699601</v>
      </c>
      <c r="L26">
        <v>0.53618524629596398</v>
      </c>
      <c r="M26">
        <v>0.447049251982508</v>
      </c>
      <c r="N26">
        <v>0.19361351828619899</v>
      </c>
      <c r="O26" s="2">
        <f>B2-P26</f>
        <v>657</v>
      </c>
      <c r="P26">
        <v>343</v>
      </c>
      <c r="Q26" s="1">
        <f t="shared" si="0"/>
        <v>0.34300000000000003</v>
      </c>
    </row>
    <row r="27" spans="1:17" x14ac:dyDescent="0.25">
      <c r="A27">
        <v>5.0544702849929299</v>
      </c>
      <c r="B27">
        <v>0.70367564768981905</v>
      </c>
      <c r="C27">
        <v>5.3380942673766798</v>
      </c>
      <c r="D27">
        <v>0.62954718757019601</v>
      </c>
      <c r="E27">
        <v>120.33891382338101</v>
      </c>
      <c r="F27">
        <v>0.28296942591763802</v>
      </c>
      <c r="G27">
        <v>4.0637721670939602</v>
      </c>
      <c r="H27">
        <v>0.56371891908371896</v>
      </c>
      <c r="I27">
        <v>0.51812860729275501</v>
      </c>
      <c r="J27">
        <v>0.20822090278348299</v>
      </c>
      <c r="K27">
        <v>3.81751337089579</v>
      </c>
      <c r="L27">
        <v>0.544422391596178</v>
      </c>
      <c r="M27">
        <v>0.45546251875466698</v>
      </c>
      <c r="N27">
        <v>0.18838146107291301</v>
      </c>
      <c r="O27" s="2">
        <f>B2-P27</f>
        <v>620</v>
      </c>
      <c r="P27">
        <v>380</v>
      </c>
      <c r="Q27" s="1">
        <f t="shared" si="0"/>
        <v>0.38</v>
      </c>
    </row>
    <row r="28" spans="1:17" x14ac:dyDescent="0.25">
      <c r="A28">
        <v>5.5599173134922903</v>
      </c>
      <c r="B28">
        <v>0.74506833284805996</v>
      </c>
      <c r="C28">
        <v>5.5769321955953703</v>
      </c>
      <c r="D28">
        <v>0.64668882652331505</v>
      </c>
      <c r="E28">
        <v>135.99793540736999</v>
      </c>
      <c r="F28">
        <v>0.284581586322323</v>
      </c>
      <c r="G28">
        <v>4.1446532300590899</v>
      </c>
      <c r="H28">
        <v>0.57365331688852195</v>
      </c>
      <c r="I28">
        <v>0.53061170680916503</v>
      </c>
      <c r="J28">
        <v>0.20631729791572201</v>
      </c>
      <c r="K28">
        <v>3.8867962013814901</v>
      </c>
      <c r="L28">
        <v>0.55328222494827395</v>
      </c>
      <c r="M28">
        <v>0.46515284574710702</v>
      </c>
      <c r="N28">
        <v>0.18680045410874899</v>
      </c>
      <c r="O28" s="2">
        <f>B2-P28</f>
        <v>617</v>
      </c>
      <c r="P28">
        <v>383</v>
      </c>
      <c r="Q28" s="1">
        <f t="shared" si="0"/>
        <v>0.38300000000000001</v>
      </c>
    </row>
    <row r="29" spans="1:17" x14ac:dyDescent="0.25">
      <c r="A29">
        <v>6.1159090448414002</v>
      </c>
      <c r="B29">
        <v>0.786461018006267</v>
      </c>
      <c r="C29">
        <v>5.2359655259643096</v>
      </c>
      <c r="D29">
        <v>0.62067647771805701</v>
      </c>
      <c r="E29">
        <v>117.66875426561199</v>
      </c>
      <c r="F29">
        <v>0.28070151357787798</v>
      </c>
      <c r="G29">
        <v>4.0491755824193199</v>
      </c>
      <c r="H29">
        <v>0.56146130944946304</v>
      </c>
      <c r="I29">
        <v>0.51562657614861696</v>
      </c>
      <c r="J29">
        <v>0.20978681670487101</v>
      </c>
      <c r="K29">
        <v>3.8041033035400398</v>
      </c>
      <c r="L29">
        <v>0.54224417557274796</v>
      </c>
      <c r="M29">
        <v>0.45327011541148698</v>
      </c>
      <c r="N29">
        <v>0.19002296041938699</v>
      </c>
      <c r="O29" s="2">
        <f>B2-P29</f>
        <v>599</v>
      </c>
      <c r="P29">
        <v>401</v>
      </c>
      <c r="Q29" s="1">
        <f t="shared" si="0"/>
        <v>0.40100000000000002</v>
      </c>
    </row>
    <row r="30" spans="1:17" x14ac:dyDescent="0.25">
      <c r="A30">
        <v>6.7274999493256402</v>
      </c>
      <c r="B30">
        <v>0.82785370316450801</v>
      </c>
      <c r="C30">
        <v>5.6799123961951201</v>
      </c>
      <c r="D30">
        <v>0.65910360069950602</v>
      </c>
      <c r="E30">
        <v>139.334735046036</v>
      </c>
      <c r="F30">
        <v>0.27891908159953499</v>
      </c>
      <c r="G30">
        <v>4.2705739514751704</v>
      </c>
      <c r="H30">
        <v>0.59023653360588502</v>
      </c>
      <c r="I30">
        <v>0.55067972735331805</v>
      </c>
      <c r="J30">
        <v>0.199121669221761</v>
      </c>
      <c r="K30">
        <v>3.9966071632696099</v>
      </c>
      <c r="L30">
        <v>0.568382889718961</v>
      </c>
      <c r="M30">
        <v>0.48128984023341898</v>
      </c>
      <c r="N30">
        <v>0.18008322381619099</v>
      </c>
      <c r="O30" s="2">
        <f>B2-P30</f>
        <v>570</v>
      </c>
      <c r="P30">
        <v>430</v>
      </c>
      <c r="Q30" s="1">
        <f t="shared" si="0"/>
        <v>0.43</v>
      </c>
    </row>
    <row r="31" spans="1:17" x14ac:dyDescent="0.25">
      <c r="A31">
        <v>7.4002499442581504</v>
      </c>
      <c r="B31">
        <v>0.86924638832272205</v>
      </c>
      <c r="C31">
        <v>5.9914310420877896</v>
      </c>
      <c r="D31">
        <v>0.66356756232802605</v>
      </c>
      <c r="E31">
        <v>176.165557931379</v>
      </c>
      <c r="F31">
        <v>0.308080293655208</v>
      </c>
      <c r="G31">
        <v>4.15901078007915</v>
      </c>
      <c r="H31">
        <v>0.57554120089490401</v>
      </c>
      <c r="I31">
        <v>0.53292324549185599</v>
      </c>
      <c r="J31">
        <v>0.20564343751686001</v>
      </c>
      <c r="K31">
        <v>3.8995589779619202</v>
      </c>
      <c r="L31">
        <v>0.55505419607264606</v>
      </c>
      <c r="M31">
        <v>0.46706543233066999</v>
      </c>
      <c r="N31">
        <v>0.18609088169369201</v>
      </c>
      <c r="O31" s="2">
        <f>B2-P31</f>
        <v>566</v>
      </c>
      <c r="P31">
        <v>434</v>
      </c>
      <c r="Q31" s="1">
        <f t="shared" si="0"/>
        <v>0.434</v>
      </c>
    </row>
    <row r="32" spans="1:17" x14ac:dyDescent="0.25">
      <c r="A32">
        <v>8.1402749386839304</v>
      </c>
      <c r="B32">
        <v>0.91063907348096396</v>
      </c>
      <c r="C32">
        <v>6.3828514894948301</v>
      </c>
      <c r="D32">
        <v>0.70540486558040205</v>
      </c>
      <c r="E32">
        <v>181.12817768221501</v>
      </c>
      <c r="F32">
        <v>0.29312682459647899</v>
      </c>
      <c r="G32">
        <v>4.3780939266075203</v>
      </c>
      <c r="H32">
        <v>0.60395047271745095</v>
      </c>
      <c r="I32">
        <v>0.56758916573690998</v>
      </c>
      <c r="J32">
        <v>0.19305709586684899</v>
      </c>
      <c r="K32">
        <v>4.0896593541670798</v>
      </c>
      <c r="L32">
        <v>0.58076149099860896</v>
      </c>
      <c r="M32">
        <v>0.49468775375853002</v>
      </c>
      <c r="N32">
        <v>0.17459945334966401</v>
      </c>
      <c r="O32" s="2">
        <f>B2-P32</f>
        <v>570</v>
      </c>
      <c r="P32">
        <v>430</v>
      </c>
      <c r="Q32" s="1">
        <f t="shared" si="0"/>
        <v>0.43</v>
      </c>
    </row>
    <row r="33" spans="1:17" x14ac:dyDescent="0.25">
      <c r="A33">
        <v>8.9543024325524492</v>
      </c>
      <c r="B33">
        <v>0.95203175863917899</v>
      </c>
      <c r="C33">
        <v>5.99303734407754</v>
      </c>
      <c r="D33">
        <v>0.691948501274119</v>
      </c>
      <c r="E33">
        <v>142.27056322622701</v>
      </c>
      <c r="F33">
        <v>0.26918188126861498</v>
      </c>
      <c r="G33">
        <v>4.4716744853940797</v>
      </c>
      <c r="H33">
        <v>0.61519135336798303</v>
      </c>
      <c r="I33">
        <v>0.58193723263547403</v>
      </c>
      <c r="J33">
        <v>0.18911930291613699</v>
      </c>
      <c r="K33">
        <v>4.1701368067456199</v>
      </c>
      <c r="L33">
        <v>0.59089082634781098</v>
      </c>
      <c r="M33">
        <v>0.50586681627894303</v>
      </c>
      <c r="N33">
        <v>0.17103194044758099</v>
      </c>
      <c r="O33" s="2">
        <f>B2-P33</f>
        <v>514</v>
      </c>
      <c r="P33">
        <v>486</v>
      </c>
      <c r="Q33" s="1">
        <f t="shared" si="0"/>
        <v>0.48599999999999999</v>
      </c>
    </row>
    <row r="34" spans="1:17" x14ac:dyDescent="0.25">
      <c r="A34">
        <v>9.8497326758075996</v>
      </c>
      <c r="B34">
        <v>0.99342444379739403</v>
      </c>
      <c r="C34">
        <v>6.3268823805869197</v>
      </c>
      <c r="D34">
        <v>0.71460911027137397</v>
      </c>
      <c r="E34">
        <v>165.49957292362299</v>
      </c>
      <c r="F34">
        <v>0.270975119441209</v>
      </c>
      <c r="G34">
        <v>4.5177362087761397</v>
      </c>
      <c r="H34">
        <v>0.62119481360163598</v>
      </c>
      <c r="I34">
        <v>0.589246062825585</v>
      </c>
      <c r="J34">
        <v>0.18530317355644199</v>
      </c>
      <c r="K34">
        <v>4.2103546915209096</v>
      </c>
      <c r="L34">
        <v>0.59638032301467603</v>
      </c>
      <c r="M34">
        <v>0.51174763538107504</v>
      </c>
      <c r="N34">
        <v>0.167435046765426</v>
      </c>
      <c r="O34" s="2">
        <f>B2-P34</f>
        <v>485</v>
      </c>
      <c r="P34">
        <v>515</v>
      </c>
      <c r="Q34" s="1">
        <f t="shared" si="0"/>
        <v>0.51500000000000001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4.1392685158224501E-2</v>
      </c>
      <c r="B37" s="1">
        <f>$D11</f>
        <v>5.3047957161461101E-2</v>
      </c>
      <c r="C37" s="1">
        <f t="shared" ref="C37:C60" si="1">B37-$E11</f>
        <v>4.3970395749022548E-2</v>
      </c>
      <c r="D37" s="1">
        <f t="shared" ref="D37:D60" si="2">B37+$E11</f>
        <v>6.2125518573899655E-2</v>
      </c>
      <c r="E37" s="1">
        <f>$B37-$F11</f>
        <v>2.1681780495004799E-2</v>
      </c>
      <c r="F37" s="1">
        <f>$B37+$F11</f>
        <v>8.4414133827917404E-2</v>
      </c>
      <c r="G37" s="1">
        <f>$H11</f>
        <v>5.2570061177371598E-2</v>
      </c>
      <c r="H37" s="1">
        <f>$G37-$I11</f>
        <v>3.7702313701221402E-2</v>
      </c>
      <c r="I37" s="1">
        <f>$G37+$I11</f>
        <v>6.7437808653521794E-2</v>
      </c>
      <c r="J37" s="1">
        <f>$G37-$J11</f>
        <v>2.9587420599412398E-2</v>
      </c>
      <c r="K37" s="1">
        <f>$G37+$J11</f>
        <v>7.5552701755330798E-2</v>
      </c>
      <c r="L37" s="1">
        <f>$L11</f>
        <v>5.7370261629299098E-2</v>
      </c>
      <c r="M37" s="1">
        <f>$L37-$M11</f>
        <v>4.0282936167490901E-2</v>
      </c>
      <c r="N37" s="1">
        <f>$L37+$M11</f>
        <v>7.4457587091107294E-2</v>
      </c>
      <c r="O37" s="1">
        <f>$L37-$N11</f>
        <v>3.0563155080292496E-2</v>
      </c>
      <c r="P37" s="1">
        <f>$L37+$N11</f>
        <v>8.4177368178305706E-2</v>
      </c>
    </row>
    <row r="38" spans="1:17" x14ac:dyDescent="0.25">
      <c r="A38" s="1">
        <f t="shared" ref="A38:A60" si="3">$B12</f>
        <v>8.2785370316449003E-2</v>
      </c>
      <c r="B38" s="1">
        <f t="shared" ref="B38:B60" si="4">$D12</f>
        <v>0.109946655465942</v>
      </c>
      <c r="C38" s="1">
        <f t="shared" si="1"/>
        <v>6.6320999164302591E-2</v>
      </c>
      <c r="D38" s="1">
        <f t="shared" si="2"/>
        <v>0.1535723117675814</v>
      </c>
      <c r="E38" s="1">
        <f t="shared" ref="E38:E60" si="5">$B38-$F12</f>
        <v>4.0551044347245394E-2</v>
      </c>
      <c r="F38" s="1">
        <f t="shared" ref="F38:F60" si="6">$B38+$F12</f>
        <v>0.17934226658463859</v>
      </c>
      <c r="G38" s="1">
        <f t="shared" ref="G38:G60" si="7">$H12</f>
        <v>0.109009927945467</v>
      </c>
      <c r="H38" s="1">
        <f t="shared" ref="H38:H60" si="8">$G38-$I12</f>
        <v>6.2660109644734202E-2</v>
      </c>
      <c r="I38" s="1">
        <f t="shared" ref="I38:I60" si="9">$G38+$I12</f>
        <v>0.1553597462461998</v>
      </c>
      <c r="J38" s="1">
        <f t="shared" ref="J38:J60" si="10">$G38-$J12</f>
        <v>4.4616104853661909E-2</v>
      </c>
      <c r="K38" s="1">
        <f t="shared" ref="K38:K60" si="11">$G38+$J12</f>
        <v>0.1734037510372721</v>
      </c>
      <c r="L38" s="1">
        <f t="shared" ref="L38:L60" si="12">$L12</f>
        <v>0.117009952839665</v>
      </c>
      <c r="M38" s="1">
        <f t="shared" ref="M38:M60" si="13">$L38-$M12</f>
        <v>6.6272132812608714E-2</v>
      </c>
      <c r="N38" s="1">
        <f t="shared" ref="N38:N60" si="14">$L38+$M12</f>
        <v>0.1677477728667213</v>
      </c>
      <c r="O38" s="1">
        <f t="shared" ref="O38:O60" si="15">$L38-$N12</f>
        <v>5.1930106824249603E-2</v>
      </c>
      <c r="P38" s="1">
        <f t="shared" ref="P38:P60" si="16">$L38+$N12</f>
        <v>0.18208979885508042</v>
      </c>
    </row>
    <row r="39" spans="1:17" x14ac:dyDescent="0.25">
      <c r="A39" s="1">
        <f t="shared" si="3"/>
        <v>0.124178055474673</v>
      </c>
      <c r="B39" s="1">
        <f t="shared" si="4"/>
        <v>0.171966421559958</v>
      </c>
      <c r="C39" s="1">
        <f t="shared" si="1"/>
        <v>-0.77422889179770205</v>
      </c>
      <c r="D39" s="1">
        <f t="shared" si="2"/>
        <v>1.1181617349176181</v>
      </c>
      <c r="E39" s="1">
        <f t="shared" si="5"/>
        <v>4.0727703713134999E-2</v>
      </c>
      <c r="F39" s="1">
        <f t="shared" si="6"/>
        <v>0.30320513940678101</v>
      </c>
      <c r="G39" s="1">
        <f t="shared" si="7"/>
        <v>0.16506108447960399</v>
      </c>
      <c r="H39" s="1">
        <f t="shared" si="8"/>
        <v>7.6157995496732092E-2</v>
      </c>
      <c r="I39" s="1">
        <f t="shared" si="9"/>
        <v>0.25396417346247591</v>
      </c>
      <c r="J39" s="1">
        <f t="shared" si="10"/>
        <v>5.481568375544299E-2</v>
      </c>
      <c r="K39" s="1">
        <f t="shared" si="11"/>
        <v>0.27530648520376499</v>
      </c>
      <c r="L39" s="1">
        <f t="shared" si="12"/>
        <v>0.17329294669050299</v>
      </c>
      <c r="M39" s="1">
        <f t="shared" si="13"/>
        <v>8.0780717275047598E-2</v>
      </c>
      <c r="N39" s="1">
        <f t="shared" si="14"/>
        <v>0.26580517610595839</v>
      </c>
      <c r="O39" s="1">
        <f t="shared" si="15"/>
        <v>6.7166151879767988E-2</v>
      </c>
      <c r="P39" s="1">
        <f t="shared" si="16"/>
        <v>0.27941974150123799</v>
      </c>
    </row>
    <row r="40" spans="1:17" x14ac:dyDescent="0.25">
      <c r="A40" s="1">
        <f t="shared" si="3"/>
        <v>0.16557074063289801</v>
      </c>
      <c r="B40" s="1">
        <f t="shared" si="4"/>
        <v>0.25693041329876898</v>
      </c>
      <c r="C40" s="1">
        <f t="shared" si="1"/>
        <v>-21.035924930400132</v>
      </c>
      <c r="D40" s="1">
        <f t="shared" si="2"/>
        <v>21.549785756997668</v>
      </c>
      <c r="E40" s="1">
        <f t="shared" si="5"/>
        <v>4.0129284658923986E-2</v>
      </c>
      <c r="F40" s="1">
        <f t="shared" si="6"/>
        <v>0.473731541938614</v>
      </c>
      <c r="G40" s="1">
        <f t="shared" si="7"/>
        <v>0.23717574081736201</v>
      </c>
      <c r="H40" s="1">
        <f t="shared" si="8"/>
        <v>8.0947998898247997E-2</v>
      </c>
      <c r="I40" s="1">
        <f t="shared" si="9"/>
        <v>0.39340348273647602</v>
      </c>
      <c r="J40" s="1">
        <f t="shared" si="10"/>
        <v>6.9018818540300009E-2</v>
      </c>
      <c r="K40" s="1">
        <f t="shared" si="11"/>
        <v>0.40533266309442401</v>
      </c>
      <c r="L40" s="1">
        <f t="shared" si="12"/>
        <v>0.24329794168357799</v>
      </c>
      <c r="M40" s="1">
        <f t="shared" si="13"/>
        <v>8.9920457849762991E-2</v>
      </c>
      <c r="N40" s="1">
        <f t="shared" si="14"/>
        <v>0.39667542551739299</v>
      </c>
      <c r="O40" s="1">
        <f t="shared" si="15"/>
        <v>8.7009971896824995E-2</v>
      </c>
      <c r="P40" s="1">
        <f t="shared" si="16"/>
        <v>0.39958591147033096</v>
      </c>
    </row>
    <row r="41" spans="1:17" x14ac:dyDescent="0.25">
      <c r="A41" s="1">
        <f t="shared" si="3"/>
        <v>0.20696342579112301</v>
      </c>
      <c r="B41" s="1">
        <f t="shared" si="4"/>
        <v>0.317064886500038</v>
      </c>
      <c r="C41" s="1">
        <f t="shared" si="1"/>
        <v>-24.589178810972861</v>
      </c>
      <c r="D41" s="1">
        <f t="shared" si="2"/>
        <v>25.223308583972937</v>
      </c>
      <c r="E41" s="1">
        <f t="shared" si="5"/>
        <v>8.2337989312920995E-2</v>
      </c>
      <c r="F41" s="1">
        <f t="shared" si="6"/>
        <v>0.55179178368715498</v>
      </c>
      <c r="G41" s="1">
        <f t="shared" si="7"/>
        <v>0.29229063434431501</v>
      </c>
      <c r="H41" s="1">
        <f t="shared" si="8"/>
        <v>8.2695533742610017E-2</v>
      </c>
      <c r="I41" s="1">
        <f t="shared" si="9"/>
        <v>0.50188573494601996</v>
      </c>
      <c r="J41" s="1">
        <f t="shared" si="10"/>
        <v>0.10425424226601601</v>
      </c>
      <c r="K41" s="1">
        <f t="shared" si="11"/>
        <v>0.48032702642261405</v>
      </c>
      <c r="L41" s="1">
        <f t="shared" si="12"/>
        <v>0.29515154124128001</v>
      </c>
      <c r="M41" s="1">
        <f t="shared" si="13"/>
        <v>9.4514630887471002E-2</v>
      </c>
      <c r="N41" s="1">
        <f t="shared" si="14"/>
        <v>0.495788451595089</v>
      </c>
      <c r="O41" s="1">
        <f t="shared" si="15"/>
        <v>0.12168623999601103</v>
      </c>
      <c r="P41" s="1">
        <f t="shared" si="16"/>
        <v>0.468616842486549</v>
      </c>
    </row>
    <row r="42" spans="1:17" x14ac:dyDescent="0.25">
      <c r="A42" s="1">
        <f t="shared" si="3"/>
        <v>0.24835611094934601</v>
      </c>
      <c r="B42" s="1">
        <f t="shared" si="4"/>
        <v>0.37925316985290097</v>
      </c>
      <c r="C42" s="1">
        <f t="shared" si="1"/>
        <v>-51.715631361112699</v>
      </c>
      <c r="D42" s="1">
        <f t="shared" si="2"/>
        <v>52.474137700818503</v>
      </c>
      <c r="E42" s="1">
        <f t="shared" si="5"/>
        <v>9.8648106213834963E-2</v>
      </c>
      <c r="F42" s="1">
        <f t="shared" si="6"/>
        <v>0.65985823349196693</v>
      </c>
      <c r="G42" s="1">
        <f t="shared" si="7"/>
        <v>0.34283434611338698</v>
      </c>
      <c r="H42" s="1">
        <f t="shared" si="8"/>
        <v>7.6796603666383967E-2</v>
      </c>
      <c r="I42" s="1">
        <f t="shared" si="9"/>
        <v>0.60887208856038999</v>
      </c>
      <c r="J42" s="1">
        <f t="shared" si="10"/>
        <v>0.12651750898008698</v>
      </c>
      <c r="K42" s="1">
        <f t="shared" si="11"/>
        <v>0.559151183246687</v>
      </c>
      <c r="L42" s="1">
        <f t="shared" si="12"/>
        <v>0.34225331439383799</v>
      </c>
      <c r="M42" s="1">
        <f t="shared" si="13"/>
        <v>9.4481756313433002E-2</v>
      </c>
      <c r="N42" s="1">
        <f t="shared" si="14"/>
        <v>0.59002487247424296</v>
      </c>
      <c r="O42" s="1">
        <f t="shared" si="15"/>
        <v>0.14439992467705298</v>
      </c>
      <c r="P42" s="1">
        <f t="shared" si="16"/>
        <v>0.540106704110623</v>
      </c>
    </row>
    <row r="43" spans="1:17" x14ac:dyDescent="0.25">
      <c r="A43" s="1">
        <f t="shared" si="3"/>
        <v>0.28974879610757398</v>
      </c>
      <c r="B43" s="1">
        <f t="shared" si="4"/>
        <v>0.40168365773891102</v>
      </c>
      <c r="C43" s="1">
        <f t="shared" si="1"/>
        <v>-44.791711053060084</v>
      </c>
      <c r="D43" s="1">
        <f t="shared" si="2"/>
        <v>45.595078368537912</v>
      </c>
      <c r="E43" s="1">
        <f t="shared" si="5"/>
        <v>0.13238341135091802</v>
      </c>
      <c r="F43" s="1">
        <f t="shared" si="6"/>
        <v>0.67098390412690401</v>
      </c>
      <c r="G43" s="1">
        <f t="shared" si="7"/>
        <v>0.35825481175047902</v>
      </c>
      <c r="H43" s="1">
        <f t="shared" si="8"/>
        <v>8.0098343240601E-2</v>
      </c>
      <c r="I43" s="1">
        <f t="shared" si="9"/>
        <v>0.63641128026035698</v>
      </c>
      <c r="J43" s="1">
        <f t="shared" si="10"/>
        <v>0.15326510569578503</v>
      </c>
      <c r="K43" s="1">
        <f t="shared" si="11"/>
        <v>0.56324451780517304</v>
      </c>
      <c r="L43" s="1">
        <f t="shared" si="12"/>
        <v>0.35688791179450002</v>
      </c>
      <c r="M43" s="1">
        <f t="shared" si="13"/>
        <v>9.7102508104767005E-2</v>
      </c>
      <c r="N43" s="1">
        <f t="shared" si="14"/>
        <v>0.61667331548423299</v>
      </c>
      <c r="O43" s="1">
        <f t="shared" si="15"/>
        <v>0.16963745537322902</v>
      </c>
      <c r="P43" s="1">
        <f t="shared" si="16"/>
        <v>0.544138368215771</v>
      </c>
    </row>
    <row r="44" spans="1:17" x14ac:dyDescent="0.25">
      <c r="A44" s="1">
        <f t="shared" si="3"/>
        <v>0.33114148126579901</v>
      </c>
      <c r="B44" s="1">
        <f t="shared" si="4"/>
        <v>0.44754730764697398</v>
      </c>
      <c r="C44" s="1">
        <f t="shared" si="1"/>
        <v>-72.643546711644234</v>
      </c>
      <c r="D44" s="1">
        <f t="shared" si="2"/>
        <v>73.538641326938176</v>
      </c>
      <c r="E44" s="1">
        <f t="shared" si="5"/>
        <v>0.152964332390293</v>
      </c>
      <c r="F44" s="1">
        <f t="shared" si="6"/>
        <v>0.7421302829036549</v>
      </c>
      <c r="G44" s="1">
        <f t="shared" si="7"/>
        <v>0.39821249776853801</v>
      </c>
      <c r="H44" s="1">
        <f t="shared" si="8"/>
        <v>7.3702370788074012E-2</v>
      </c>
      <c r="I44" s="1">
        <f t="shared" si="9"/>
        <v>0.72272262474900195</v>
      </c>
      <c r="J44" s="1">
        <f t="shared" si="10"/>
        <v>0.17782143748697002</v>
      </c>
      <c r="K44" s="1">
        <f t="shared" si="11"/>
        <v>0.61860355805010603</v>
      </c>
      <c r="L44" s="1">
        <f t="shared" si="12"/>
        <v>0.39294569694929699</v>
      </c>
      <c r="M44" s="1">
        <f t="shared" si="13"/>
        <v>9.5731744306275013E-2</v>
      </c>
      <c r="N44" s="1">
        <f t="shared" si="14"/>
        <v>0.69015964959231901</v>
      </c>
      <c r="O44" s="1">
        <f t="shared" si="15"/>
        <v>0.19170251895738899</v>
      </c>
      <c r="P44" s="1">
        <f t="shared" si="16"/>
        <v>0.59418887494120498</v>
      </c>
    </row>
    <row r="45" spans="1:17" x14ac:dyDescent="0.25">
      <c r="A45" s="1">
        <f t="shared" si="3"/>
        <v>0.37253416642402998</v>
      </c>
      <c r="B45" s="1">
        <f t="shared" si="4"/>
        <v>0.48832115254437197</v>
      </c>
      <c r="C45" s="1">
        <f t="shared" si="1"/>
        <v>-83.506714100944222</v>
      </c>
      <c r="D45" s="1">
        <f t="shared" si="2"/>
        <v>84.483356406032968</v>
      </c>
      <c r="E45" s="1">
        <f t="shared" si="5"/>
        <v>0.19001716100821597</v>
      </c>
      <c r="F45" s="1">
        <f t="shared" si="6"/>
        <v>0.78662514408052797</v>
      </c>
      <c r="G45" s="1">
        <f t="shared" si="7"/>
        <v>0.43169786949296102</v>
      </c>
      <c r="H45" s="1">
        <f t="shared" si="8"/>
        <v>6.9300700700905993E-2</v>
      </c>
      <c r="I45" s="1">
        <f t="shared" si="9"/>
        <v>0.79409503828501604</v>
      </c>
      <c r="J45" s="1">
        <f t="shared" si="10"/>
        <v>0.20802546044582501</v>
      </c>
      <c r="K45" s="1">
        <f t="shared" si="11"/>
        <v>0.655370278540097</v>
      </c>
      <c r="L45" s="1">
        <f t="shared" si="12"/>
        <v>0.42426300408982198</v>
      </c>
      <c r="M45" s="1">
        <f t="shared" si="13"/>
        <v>9.5060387951037995E-2</v>
      </c>
      <c r="N45" s="1">
        <f t="shared" si="14"/>
        <v>0.75346562022860597</v>
      </c>
      <c r="O45" s="1">
        <f t="shared" si="15"/>
        <v>0.22085664655950499</v>
      </c>
      <c r="P45" s="1">
        <f t="shared" si="16"/>
        <v>0.62766936162013898</v>
      </c>
    </row>
    <row r="46" spans="1:17" x14ac:dyDescent="0.25">
      <c r="A46" s="1">
        <f t="shared" si="3"/>
        <v>0.41392685158224901</v>
      </c>
      <c r="B46" s="1">
        <f t="shared" si="4"/>
        <v>0.50520128908427098</v>
      </c>
      <c r="C46" s="1">
        <f t="shared" si="1"/>
        <v>-68.664909899786636</v>
      </c>
      <c r="D46" s="1">
        <f t="shared" si="2"/>
        <v>69.675312477955174</v>
      </c>
      <c r="E46" s="1">
        <f t="shared" si="5"/>
        <v>0.21801630821137097</v>
      </c>
      <c r="F46" s="1">
        <f t="shared" si="6"/>
        <v>0.79238626995717099</v>
      </c>
      <c r="G46" s="1">
        <f t="shared" si="7"/>
        <v>0.455845633300417</v>
      </c>
      <c r="H46" s="1">
        <f t="shared" si="8"/>
        <v>6.4678903266414012E-2</v>
      </c>
      <c r="I46" s="1">
        <f t="shared" si="9"/>
        <v>0.84701236333441998</v>
      </c>
      <c r="J46" s="1">
        <f t="shared" si="10"/>
        <v>0.22813208945990698</v>
      </c>
      <c r="K46" s="1">
        <f t="shared" si="11"/>
        <v>0.68355917714092707</v>
      </c>
      <c r="L46" s="1">
        <f t="shared" si="12"/>
        <v>0.44583371305838199</v>
      </c>
      <c r="M46" s="1">
        <f t="shared" si="13"/>
        <v>9.3751599127698981E-2</v>
      </c>
      <c r="N46" s="1">
        <f t="shared" si="14"/>
        <v>0.79791582698906494</v>
      </c>
      <c r="O46" s="1">
        <f t="shared" si="15"/>
        <v>0.23847884478530998</v>
      </c>
      <c r="P46" s="1">
        <f t="shared" si="16"/>
        <v>0.65318858133145397</v>
      </c>
    </row>
    <row r="47" spans="1:17" x14ac:dyDescent="0.25">
      <c r="A47" s="1">
        <f t="shared" si="3"/>
        <v>0.45531953674048398</v>
      </c>
      <c r="B47" s="1">
        <f t="shared" si="4"/>
        <v>0.52544892482499395</v>
      </c>
      <c r="C47" s="1">
        <f t="shared" si="1"/>
        <v>-93.037201551073395</v>
      </c>
      <c r="D47" s="1">
        <f t="shared" si="2"/>
        <v>94.088099400723394</v>
      </c>
      <c r="E47" s="1">
        <f t="shared" si="5"/>
        <v>0.22600938912693896</v>
      </c>
      <c r="F47" s="1">
        <f t="shared" si="6"/>
        <v>0.82488846052304887</v>
      </c>
      <c r="G47" s="1">
        <f t="shared" si="7"/>
        <v>0.46849483775286899</v>
      </c>
      <c r="H47" s="1">
        <f t="shared" si="8"/>
        <v>6.3904015934490965E-2</v>
      </c>
      <c r="I47" s="1">
        <f t="shared" si="9"/>
        <v>0.87308565957124706</v>
      </c>
      <c r="J47" s="1">
        <f t="shared" si="10"/>
        <v>0.244910127254863</v>
      </c>
      <c r="K47" s="1">
        <f t="shared" si="11"/>
        <v>0.69207954825087503</v>
      </c>
      <c r="L47" s="1">
        <f t="shared" si="12"/>
        <v>0.45799850494234001</v>
      </c>
      <c r="M47" s="1">
        <f t="shared" si="13"/>
        <v>9.4072288497461021E-2</v>
      </c>
      <c r="N47" s="1">
        <f t="shared" si="14"/>
        <v>0.82192472138721895</v>
      </c>
      <c r="O47" s="1">
        <f t="shared" si="15"/>
        <v>0.25521820399619299</v>
      </c>
      <c r="P47" s="1">
        <f t="shared" si="16"/>
        <v>0.66077880588848703</v>
      </c>
    </row>
    <row r="48" spans="1:17" x14ac:dyDescent="0.25">
      <c r="A48" s="1">
        <f t="shared" si="3"/>
        <v>0.49671222189869402</v>
      </c>
      <c r="B48" s="1">
        <f t="shared" si="4"/>
        <v>0.56439897176595799</v>
      </c>
      <c r="C48" s="1">
        <f t="shared" si="1"/>
        <v>-119.26252742365304</v>
      </c>
      <c r="D48" s="1">
        <f t="shared" si="2"/>
        <v>120.39132536718495</v>
      </c>
      <c r="E48" s="1">
        <f t="shared" si="5"/>
        <v>0.258928780324722</v>
      </c>
      <c r="F48" s="1">
        <f t="shared" si="6"/>
        <v>0.86986916320719398</v>
      </c>
      <c r="G48" s="1">
        <f t="shared" si="7"/>
        <v>0.50382246129302199</v>
      </c>
      <c r="H48" s="1">
        <f t="shared" si="8"/>
        <v>5.6772431394154999E-2</v>
      </c>
      <c r="I48" s="1">
        <f t="shared" si="9"/>
        <v>0.95087249119188899</v>
      </c>
      <c r="J48" s="1">
        <f t="shared" si="10"/>
        <v>0.27977810317176399</v>
      </c>
      <c r="K48" s="1">
        <f t="shared" si="11"/>
        <v>0.72786681941428</v>
      </c>
      <c r="L48" s="1">
        <f t="shared" si="12"/>
        <v>0.489686358233686</v>
      </c>
      <c r="M48" s="1">
        <f t="shared" si="13"/>
        <v>9.202024092745803E-2</v>
      </c>
      <c r="N48" s="1">
        <f t="shared" si="14"/>
        <v>0.88735247553991403</v>
      </c>
      <c r="O48" s="1">
        <f t="shared" si="15"/>
        <v>0.28622039523216203</v>
      </c>
      <c r="P48" s="1">
        <f t="shared" si="16"/>
        <v>0.69315232123520998</v>
      </c>
    </row>
    <row r="49" spans="1:16" x14ac:dyDescent="0.25">
      <c r="A49" s="1">
        <f t="shared" si="3"/>
        <v>0.53810490705693004</v>
      </c>
      <c r="B49" s="1">
        <f t="shared" si="4"/>
        <v>0.57376091211740299</v>
      </c>
      <c r="C49" s="1">
        <f t="shared" si="1"/>
        <v>-99.400531230394293</v>
      </c>
      <c r="D49" s="1">
        <f t="shared" si="2"/>
        <v>100.54805305462911</v>
      </c>
      <c r="E49" s="1">
        <f t="shared" si="5"/>
        <v>0.28886618119323298</v>
      </c>
      <c r="F49" s="1">
        <f t="shared" si="6"/>
        <v>0.85865564304157305</v>
      </c>
      <c r="G49" s="1">
        <f t="shared" si="7"/>
        <v>0.51835841404703697</v>
      </c>
      <c r="H49" s="1">
        <f t="shared" si="8"/>
        <v>5.5048652070750992E-2</v>
      </c>
      <c r="I49" s="1">
        <f t="shared" si="9"/>
        <v>0.98166817602332301</v>
      </c>
      <c r="J49" s="1">
        <f t="shared" si="10"/>
        <v>0.29990641495456594</v>
      </c>
      <c r="K49" s="1">
        <f t="shared" si="11"/>
        <v>0.73681041313950801</v>
      </c>
      <c r="L49" s="1">
        <f t="shared" si="12"/>
        <v>0.50298898153334903</v>
      </c>
      <c r="M49" s="1">
        <f t="shared" si="13"/>
        <v>9.1696837672649023E-2</v>
      </c>
      <c r="N49" s="1">
        <f t="shared" si="14"/>
        <v>0.91428112539404904</v>
      </c>
      <c r="O49" s="1">
        <f t="shared" si="15"/>
        <v>0.304646920844585</v>
      </c>
      <c r="P49" s="1">
        <f t="shared" si="16"/>
        <v>0.70133104222211307</v>
      </c>
    </row>
    <row r="50" spans="1:16" x14ac:dyDescent="0.25">
      <c r="A50" s="1">
        <f t="shared" si="3"/>
        <v>0.57949759221514796</v>
      </c>
      <c r="B50" s="1">
        <f t="shared" si="4"/>
        <v>0.59283427179047798</v>
      </c>
      <c r="C50" s="1">
        <f t="shared" si="1"/>
        <v>-118.33354654822652</v>
      </c>
      <c r="D50" s="1">
        <f t="shared" si="2"/>
        <v>119.51921509180748</v>
      </c>
      <c r="E50" s="1">
        <f t="shared" si="5"/>
        <v>0.295640675452428</v>
      </c>
      <c r="F50" s="1">
        <f t="shared" si="6"/>
        <v>0.89002786812852797</v>
      </c>
      <c r="G50" s="1">
        <f t="shared" si="7"/>
        <v>0.52730073625033502</v>
      </c>
      <c r="H50" s="1">
        <f t="shared" si="8"/>
        <v>5.2705673406540032E-2</v>
      </c>
      <c r="I50" s="1">
        <f t="shared" si="9"/>
        <v>1.00189579909413</v>
      </c>
      <c r="J50" s="1">
        <f t="shared" si="10"/>
        <v>0.30847712862617305</v>
      </c>
      <c r="K50" s="1">
        <f t="shared" si="11"/>
        <v>0.746124343874497</v>
      </c>
      <c r="L50" s="1">
        <f t="shared" si="12"/>
        <v>0.51117545545544896</v>
      </c>
      <c r="M50" s="1">
        <f t="shared" si="13"/>
        <v>9.0938657801703959E-2</v>
      </c>
      <c r="N50" s="1">
        <f t="shared" si="14"/>
        <v>0.93141225310919395</v>
      </c>
      <c r="O50" s="1">
        <f t="shared" si="15"/>
        <v>0.31268529153552094</v>
      </c>
      <c r="P50" s="1">
        <f t="shared" si="16"/>
        <v>0.70966561937537698</v>
      </c>
    </row>
    <row r="51" spans="1:16" x14ac:dyDescent="0.25">
      <c r="A51" s="1">
        <f t="shared" si="3"/>
        <v>0.620890277373365</v>
      </c>
      <c r="B51" s="1">
        <f t="shared" si="4"/>
        <v>0.61635254698418296</v>
      </c>
      <c r="C51" s="1">
        <f t="shared" si="1"/>
        <v>-134.74141221858582</v>
      </c>
      <c r="D51" s="1">
        <f t="shared" si="2"/>
        <v>135.9741173125542</v>
      </c>
      <c r="E51" s="1">
        <f t="shared" si="5"/>
        <v>0.31349365720248096</v>
      </c>
      <c r="F51" s="1">
        <f t="shared" si="6"/>
        <v>0.91921143676588501</v>
      </c>
      <c r="G51" s="1">
        <f t="shared" si="7"/>
        <v>0.54221522687592205</v>
      </c>
      <c r="H51" s="1">
        <f t="shared" si="8"/>
        <v>4.934805056009206E-2</v>
      </c>
      <c r="I51" s="1">
        <f t="shared" si="9"/>
        <v>1.035082403191752</v>
      </c>
      <c r="J51" s="1">
        <f t="shared" si="10"/>
        <v>0.32546958991642005</v>
      </c>
      <c r="K51" s="1">
        <f t="shared" si="11"/>
        <v>0.75896086383542405</v>
      </c>
      <c r="L51" s="1">
        <f t="shared" si="12"/>
        <v>0.52487381414711198</v>
      </c>
      <c r="M51" s="1">
        <f t="shared" si="13"/>
        <v>8.991166512780896E-2</v>
      </c>
      <c r="N51" s="1">
        <f t="shared" si="14"/>
        <v>0.95983596316641506</v>
      </c>
      <c r="O51" s="1">
        <f t="shared" si="15"/>
        <v>0.32858350615902499</v>
      </c>
      <c r="P51" s="1">
        <f t="shared" si="16"/>
        <v>0.72116412213519898</v>
      </c>
    </row>
    <row r="52" spans="1:16" x14ac:dyDescent="0.25">
      <c r="A52" s="1">
        <f t="shared" si="3"/>
        <v>0.66228296253160501</v>
      </c>
      <c r="B52" s="1">
        <f t="shared" si="4"/>
        <v>0.62601247295203499</v>
      </c>
      <c r="C52" s="1">
        <f t="shared" si="1"/>
        <v>-141.95969448662396</v>
      </c>
      <c r="D52" s="1">
        <f t="shared" si="2"/>
        <v>143.21171943252801</v>
      </c>
      <c r="E52" s="1">
        <f t="shared" si="5"/>
        <v>0.32342260975631498</v>
      </c>
      <c r="F52" s="1">
        <f t="shared" si="6"/>
        <v>0.928602336147755</v>
      </c>
      <c r="G52" s="1">
        <f t="shared" si="7"/>
        <v>0.55480972640794102</v>
      </c>
      <c r="H52" s="1">
        <f t="shared" si="8"/>
        <v>4.667372333485198E-2</v>
      </c>
      <c r="I52" s="1">
        <f t="shared" si="9"/>
        <v>1.0629457294810301</v>
      </c>
      <c r="J52" s="1">
        <f t="shared" si="10"/>
        <v>0.341089844576205</v>
      </c>
      <c r="K52" s="1">
        <f t="shared" si="11"/>
        <v>0.76852960823967709</v>
      </c>
      <c r="L52" s="1">
        <f t="shared" si="12"/>
        <v>0.53618524629596398</v>
      </c>
      <c r="M52" s="1">
        <f t="shared" si="13"/>
        <v>8.913599431345598E-2</v>
      </c>
      <c r="N52" s="1">
        <f t="shared" si="14"/>
        <v>0.98323449827847198</v>
      </c>
      <c r="O52" s="1">
        <f t="shared" si="15"/>
        <v>0.34257172800976499</v>
      </c>
      <c r="P52" s="1">
        <f t="shared" si="16"/>
        <v>0.72979876458216297</v>
      </c>
    </row>
    <row r="53" spans="1:16" x14ac:dyDescent="0.25">
      <c r="A53" s="1">
        <f t="shared" si="3"/>
        <v>0.70367564768981905</v>
      </c>
      <c r="B53" s="1">
        <f t="shared" si="4"/>
        <v>0.62954718757019601</v>
      </c>
      <c r="C53" s="1">
        <f t="shared" si="1"/>
        <v>-119.70936663581081</v>
      </c>
      <c r="D53" s="1">
        <f t="shared" si="2"/>
        <v>120.9684610109512</v>
      </c>
      <c r="E53" s="1">
        <f t="shared" si="5"/>
        <v>0.34657776165255799</v>
      </c>
      <c r="F53" s="1">
        <f t="shared" si="6"/>
        <v>0.91251661348783397</v>
      </c>
      <c r="G53" s="1">
        <f t="shared" si="7"/>
        <v>0.56371891908371896</v>
      </c>
      <c r="H53" s="1">
        <f t="shared" si="8"/>
        <v>4.5590311790963955E-2</v>
      </c>
      <c r="I53" s="1">
        <f t="shared" si="9"/>
        <v>1.081847526376474</v>
      </c>
      <c r="J53" s="1">
        <f t="shared" si="10"/>
        <v>0.35549801630023597</v>
      </c>
      <c r="K53" s="1">
        <f t="shared" si="11"/>
        <v>0.771939821867202</v>
      </c>
      <c r="L53" s="1">
        <f t="shared" si="12"/>
        <v>0.544422391596178</v>
      </c>
      <c r="M53" s="1">
        <f t="shared" si="13"/>
        <v>8.8959872841511023E-2</v>
      </c>
      <c r="N53" s="1">
        <f t="shared" si="14"/>
        <v>0.99988491035084492</v>
      </c>
      <c r="O53" s="1">
        <f t="shared" si="15"/>
        <v>0.35604093052326502</v>
      </c>
      <c r="P53" s="1">
        <f t="shared" si="16"/>
        <v>0.73280385266909098</v>
      </c>
    </row>
    <row r="54" spans="1:16" x14ac:dyDescent="0.25">
      <c r="A54" s="1">
        <f t="shared" si="3"/>
        <v>0.74506833284805996</v>
      </c>
      <c r="B54" s="1">
        <f t="shared" si="4"/>
        <v>0.64668882652331505</v>
      </c>
      <c r="C54" s="1">
        <f t="shared" si="1"/>
        <v>-135.35124658084669</v>
      </c>
      <c r="D54" s="1">
        <f t="shared" si="2"/>
        <v>136.6446242338933</v>
      </c>
      <c r="E54" s="1">
        <f t="shared" si="5"/>
        <v>0.36210724020099205</v>
      </c>
      <c r="F54" s="1">
        <f t="shared" si="6"/>
        <v>0.93127041284563805</v>
      </c>
      <c r="G54" s="1">
        <f t="shared" si="7"/>
        <v>0.57365331688852195</v>
      </c>
      <c r="H54" s="1">
        <f t="shared" si="8"/>
        <v>4.3041610079356918E-2</v>
      </c>
      <c r="I54" s="1">
        <f t="shared" si="9"/>
        <v>1.104265023697687</v>
      </c>
      <c r="J54" s="1">
        <f t="shared" si="10"/>
        <v>0.36733601897279994</v>
      </c>
      <c r="K54" s="1">
        <f t="shared" si="11"/>
        <v>0.77997061480424401</v>
      </c>
      <c r="L54" s="1">
        <f t="shared" si="12"/>
        <v>0.55328222494827395</v>
      </c>
      <c r="M54" s="1">
        <f t="shared" si="13"/>
        <v>8.8129379201166924E-2</v>
      </c>
      <c r="N54" s="1">
        <f t="shared" si="14"/>
        <v>1.0184350706953809</v>
      </c>
      <c r="O54" s="1">
        <f t="shared" si="15"/>
        <v>0.36648177083952493</v>
      </c>
      <c r="P54" s="1">
        <f t="shared" si="16"/>
        <v>0.74008267905702296</v>
      </c>
    </row>
    <row r="55" spans="1:16" x14ac:dyDescent="0.25">
      <c r="A55" s="1">
        <f t="shared" si="3"/>
        <v>0.786461018006267</v>
      </c>
      <c r="B55" s="1">
        <f t="shared" si="4"/>
        <v>0.62067647771805701</v>
      </c>
      <c r="C55" s="1">
        <f t="shared" si="1"/>
        <v>-117.04807778789393</v>
      </c>
      <c r="D55" s="1">
        <f t="shared" si="2"/>
        <v>118.28943074333006</v>
      </c>
      <c r="E55" s="1">
        <f t="shared" si="5"/>
        <v>0.33997496414017903</v>
      </c>
      <c r="F55" s="1">
        <f t="shared" si="6"/>
        <v>0.90137799129593499</v>
      </c>
      <c r="G55" s="1">
        <f t="shared" si="7"/>
        <v>0.56146130944946304</v>
      </c>
      <c r="H55" s="1">
        <f t="shared" si="8"/>
        <v>4.5834733300846087E-2</v>
      </c>
      <c r="I55" s="1">
        <f t="shared" si="9"/>
        <v>1.0770878855980799</v>
      </c>
      <c r="J55" s="1">
        <f t="shared" si="10"/>
        <v>0.35167449274459206</v>
      </c>
      <c r="K55" s="1">
        <f t="shared" si="11"/>
        <v>0.77124812615433402</v>
      </c>
      <c r="L55" s="1">
        <f t="shared" si="12"/>
        <v>0.54224417557274796</v>
      </c>
      <c r="M55" s="1">
        <f t="shared" si="13"/>
        <v>8.8974060161260971E-2</v>
      </c>
      <c r="N55" s="1">
        <f t="shared" si="14"/>
        <v>0.99551429098423494</v>
      </c>
      <c r="O55" s="1">
        <f t="shared" si="15"/>
        <v>0.35222121515336097</v>
      </c>
      <c r="P55" s="1">
        <f t="shared" si="16"/>
        <v>0.73226713599213489</v>
      </c>
    </row>
    <row r="56" spans="1:16" x14ac:dyDescent="0.25">
      <c r="A56" s="1">
        <f t="shared" si="3"/>
        <v>0.82785370316450801</v>
      </c>
      <c r="B56" s="1">
        <f t="shared" si="4"/>
        <v>0.65910360069950602</v>
      </c>
      <c r="C56" s="1">
        <f t="shared" si="1"/>
        <v>-138.67563144533651</v>
      </c>
      <c r="D56" s="1">
        <f t="shared" si="2"/>
        <v>139.9938386467355</v>
      </c>
      <c r="E56" s="1">
        <f t="shared" si="5"/>
        <v>0.38018451909997103</v>
      </c>
      <c r="F56" s="1">
        <f t="shared" si="6"/>
        <v>0.93802268229904096</v>
      </c>
      <c r="G56" s="1">
        <f t="shared" si="7"/>
        <v>0.59023653360588502</v>
      </c>
      <c r="H56" s="1">
        <f t="shared" si="8"/>
        <v>3.9556806252566967E-2</v>
      </c>
      <c r="I56" s="1">
        <f t="shared" si="9"/>
        <v>1.140916260959203</v>
      </c>
      <c r="J56" s="1">
        <f t="shared" si="10"/>
        <v>0.39111486438412402</v>
      </c>
      <c r="K56" s="1">
        <f t="shared" si="11"/>
        <v>0.78935820282764602</v>
      </c>
      <c r="L56" s="1">
        <f t="shared" si="12"/>
        <v>0.568382889718961</v>
      </c>
      <c r="M56" s="1">
        <f t="shared" si="13"/>
        <v>8.7093049485542029E-2</v>
      </c>
      <c r="N56" s="1">
        <f t="shared" si="14"/>
        <v>1.04967272995238</v>
      </c>
      <c r="O56" s="1">
        <f t="shared" si="15"/>
        <v>0.38829966590276999</v>
      </c>
      <c r="P56" s="1">
        <f t="shared" si="16"/>
        <v>0.74846611353515202</v>
      </c>
    </row>
    <row r="57" spans="1:16" x14ac:dyDescent="0.25">
      <c r="A57" s="1">
        <f t="shared" si="3"/>
        <v>0.86924638832272205</v>
      </c>
      <c r="B57" s="1">
        <f t="shared" si="4"/>
        <v>0.66356756232802605</v>
      </c>
      <c r="C57" s="1">
        <f t="shared" si="1"/>
        <v>-175.50199036905099</v>
      </c>
      <c r="D57" s="1">
        <f t="shared" si="2"/>
        <v>176.82912549370701</v>
      </c>
      <c r="E57" s="1">
        <f t="shared" si="5"/>
        <v>0.35548726867281805</v>
      </c>
      <c r="F57" s="1">
        <f t="shared" si="6"/>
        <v>0.971647855983234</v>
      </c>
      <c r="G57" s="1">
        <f t="shared" si="7"/>
        <v>0.57554120089490401</v>
      </c>
      <c r="H57" s="1">
        <f t="shared" si="8"/>
        <v>4.2617955403048025E-2</v>
      </c>
      <c r="I57" s="1">
        <f t="shared" si="9"/>
        <v>1.1084644463867601</v>
      </c>
      <c r="J57" s="1">
        <f t="shared" si="10"/>
        <v>0.36989776337804403</v>
      </c>
      <c r="K57" s="1">
        <f t="shared" si="11"/>
        <v>0.781184638411764</v>
      </c>
      <c r="L57" s="1">
        <f t="shared" si="12"/>
        <v>0.55505419607264606</v>
      </c>
      <c r="M57" s="1">
        <f t="shared" si="13"/>
        <v>8.7988763741976062E-2</v>
      </c>
      <c r="N57" s="1">
        <f t="shared" si="14"/>
        <v>1.022119628403316</v>
      </c>
      <c r="O57" s="1">
        <f t="shared" si="15"/>
        <v>0.36896331437895402</v>
      </c>
      <c r="P57" s="1">
        <f t="shared" si="16"/>
        <v>0.74114507776633809</v>
      </c>
    </row>
    <row r="58" spans="1:16" x14ac:dyDescent="0.25">
      <c r="A58" s="1">
        <f t="shared" si="3"/>
        <v>0.91063907348096396</v>
      </c>
      <c r="B58" s="1">
        <f t="shared" si="4"/>
        <v>0.70540486558040205</v>
      </c>
      <c r="C58" s="1">
        <f t="shared" si="1"/>
        <v>-180.42277281663462</v>
      </c>
      <c r="D58" s="1">
        <f t="shared" si="2"/>
        <v>181.8335825477954</v>
      </c>
      <c r="E58" s="1">
        <f t="shared" si="5"/>
        <v>0.41227804098392307</v>
      </c>
      <c r="F58" s="1">
        <f t="shared" si="6"/>
        <v>0.99853169017688104</v>
      </c>
      <c r="G58" s="1">
        <f t="shared" si="7"/>
        <v>0.60395047271745095</v>
      </c>
      <c r="H58" s="1">
        <f t="shared" si="8"/>
        <v>3.6361306980540964E-2</v>
      </c>
      <c r="I58" s="1">
        <f t="shared" si="9"/>
        <v>1.171539638454361</v>
      </c>
      <c r="J58" s="1">
        <f t="shared" si="10"/>
        <v>0.41089337685060195</v>
      </c>
      <c r="K58" s="1">
        <f t="shared" si="11"/>
        <v>0.79700756858429989</v>
      </c>
      <c r="L58" s="1">
        <f t="shared" si="12"/>
        <v>0.58076149099860896</v>
      </c>
      <c r="M58" s="1">
        <f t="shared" si="13"/>
        <v>8.607373724007894E-2</v>
      </c>
      <c r="N58" s="1">
        <f t="shared" si="14"/>
        <v>1.0754492447571389</v>
      </c>
      <c r="O58" s="1">
        <f t="shared" si="15"/>
        <v>0.40616203764894498</v>
      </c>
      <c r="P58" s="1">
        <f t="shared" si="16"/>
        <v>0.75536094434827294</v>
      </c>
    </row>
    <row r="59" spans="1:16" x14ac:dyDescent="0.25">
      <c r="A59" s="1">
        <f t="shared" si="3"/>
        <v>0.95203175863917899</v>
      </c>
      <c r="B59" s="1">
        <f t="shared" si="4"/>
        <v>0.691948501274119</v>
      </c>
      <c r="C59" s="1">
        <f t="shared" si="1"/>
        <v>-141.5786147249529</v>
      </c>
      <c r="D59" s="1">
        <f t="shared" si="2"/>
        <v>142.96251172750112</v>
      </c>
      <c r="E59" s="1">
        <f t="shared" si="5"/>
        <v>0.42276662000550402</v>
      </c>
      <c r="F59" s="1">
        <f t="shared" si="6"/>
        <v>0.96113038254273397</v>
      </c>
      <c r="G59" s="1">
        <f t="shared" si="7"/>
        <v>0.61519135336798303</v>
      </c>
      <c r="H59" s="1">
        <f t="shared" si="8"/>
        <v>3.3254120732508996E-2</v>
      </c>
      <c r="I59" s="1">
        <f t="shared" si="9"/>
        <v>1.1971285860034571</v>
      </c>
      <c r="J59" s="1">
        <f t="shared" si="10"/>
        <v>0.42607205045184604</v>
      </c>
      <c r="K59" s="1">
        <f t="shared" si="11"/>
        <v>0.80431065628412002</v>
      </c>
      <c r="L59" s="1">
        <f t="shared" si="12"/>
        <v>0.59089082634781098</v>
      </c>
      <c r="M59" s="1">
        <f t="shared" si="13"/>
        <v>8.502401006886795E-2</v>
      </c>
      <c r="N59" s="1">
        <f t="shared" si="14"/>
        <v>1.096757642626754</v>
      </c>
      <c r="O59" s="1">
        <f t="shared" si="15"/>
        <v>0.41985888590023002</v>
      </c>
      <c r="P59" s="1">
        <f t="shared" si="16"/>
        <v>0.76192276679539195</v>
      </c>
    </row>
    <row r="60" spans="1:16" x14ac:dyDescent="0.25">
      <c r="A60" s="1">
        <f t="shared" si="3"/>
        <v>0.99342444379739403</v>
      </c>
      <c r="B60" s="1">
        <f t="shared" si="4"/>
        <v>0.71460911027137397</v>
      </c>
      <c r="C60" s="1">
        <f t="shared" si="1"/>
        <v>-164.78496381335162</v>
      </c>
      <c r="D60" s="1">
        <f t="shared" si="2"/>
        <v>166.21418203389436</v>
      </c>
      <c r="E60" s="1">
        <f t="shared" si="5"/>
        <v>0.44363399083016497</v>
      </c>
      <c r="F60" s="1">
        <f t="shared" si="6"/>
        <v>0.98558422971258297</v>
      </c>
      <c r="G60" s="1">
        <f t="shared" si="7"/>
        <v>0.62119481360163598</v>
      </c>
      <c r="H60" s="1">
        <f t="shared" si="8"/>
        <v>3.1948750776050971E-2</v>
      </c>
      <c r="I60" s="1">
        <f t="shared" si="9"/>
        <v>1.210440876427221</v>
      </c>
      <c r="J60" s="1">
        <f t="shared" si="10"/>
        <v>0.43589164004519398</v>
      </c>
      <c r="K60" s="1">
        <f t="shared" si="11"/>
        <v>0.80649798715807797</v>
      </c>
      <c r="L60" s="1">
        <f t="shared" si="12"/>
        <v>0.59638032301467603</v>
      </c>
      <c r="M60" s="1">
        <f t="shared" si="13"/>
        <v>8.4632687633600989E-2</v>
      </c>
      <c r="N60" s="1">
        <f t="shared" si="14"/>
        <v>1.1081279583957511</v>
      </c>
      <c r="O60" s="1">
        <f t="shared" si="15"/>
        <v>0.42894527624925005</v>
      </c>
      <c r="P60" s="1">
        <f t="shared" si="16"/>
        <v>0.763815369780102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Q10" sqref="Q10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64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1.1250194845811601</v>
      </c>
      <c r="D11">
        <v>5.0962155086612303E-2</v>
      </c>
      <c r="E11" s="7">
        <v>1.6344498874268899E-5</v>
      </c>
      <c r="F11">
        <v>1.30177878614879E-2</v>
      </c>
      <c r="G11">
        <v>1.1250388848950199</v>
      </c>
      <c r="H11">
        <v>5.0972999288057902E-2</v>
      </c>
      <c r="I11">
        <v>9.5921504304542493E-3</v>
      </c>
      <c r="J11">
        <v>1.2917448218354499E-2</v>
      </c>
      <c r="K11">
        <v>1.135904</v>
      </c>
      <c r="L11">
        <v>5.4886700519805799E-2</v>
      </c>
      <c r="M11">
        <v>1.0955487337553501E-2</v>
      </c>
      <c r="N11">
        <v>1.97626535757933E-2</v>
      </c>
      <c r="O11" s="2">
        <f>B2-P11</f>
        <v>1000</v>
      </c>
      <c r="P11">
        <v>0</v>
      </c>
      <c r="Q11" s="1">
        <f>P11/1000</f>
        <v>0</v>
      </c>
    </row>
    <row r="12" spans="1:17" x14ac:dyDescent="0.25">
      <c r="A12">
        <v>1.21000000000001</v>
      </c>
      <c r="B12">
        <v>8.2785370316449003E-2</v>
      </c>
      <c r="C12">
        <v>1.2674000811122701</v>
      </c>
      <c r="D12">
        <v>0.101257604066051</v>
      </c>
      <c r="E12" s="7">
        <v>8.8938100847938903E-4</v>
      </c>
      <c r="F12">
        <v>3.6182820915798698E-2</v>
      </c>
      <c r="G12">
        <v>1.26604413005673</v>
      </c>
      <c r="H12">
        <v>0.101067527709747</v>
      </c>
      <c r="I12">
        <v>2.7197720440165999E-2</v>
      </c>
      <c r="J12">
        <v>3.3761831121892898E-2</v>
      </c>
      <c r="K12">
        <v>1.282501109791</v>
      </c>
      <c r="L12">
        <v>0.106627556967586</v>
      </c>
      <c r="M12">
        <v>2.9365590500724799E-2</v>
      </c>
      <c r="N12">
        <v>3.4455946333958501E-2</v>
      </c>
      <c r="O12" s="2">
        <f>B2-P12</f>
        <v>1000</v>
      </c>
      <c r="P12">
        <v>0</v>
      </c>
      <c r="Q12" s="1">
        <f t="shared" ref="Q12:Q34" si="0">P12/1000</f>
        <v>0</v>
      </c>
    </row>
    <row r="13" spans="1:17" x14ac:dyDescent="0.25">
      <c r="A13">
        <v>1.33099999999998</v>
      </c>
      <c r="B13">
        <v>0.124178055474673</v>
      </c>
      <c r="C13">
        <v>1.42320050009677</v>
      </c>
      <c r="D13">
        <v>0.14818875679441301</v>
      </c>
      <c r="E13">
        <v>7.91480241847968E-3</v>
      </c>
      <c r="F13">
        <v>6.21307284093362E-2</v>
      </c>
      <c r="G13">
        <v>1.41060530292655</v>
      </c>
      <c r="H13">
        <v>0.145720372828919</v>
      </c>
      <c r="I13">
        <v>4.7493655731885999E-2</v>
      </c>
      <c r="J13">
        <v>5.4176060275834402E-2</v>
      </c>
      <c r="K13">
        <v>1.4200239037581499</v>
      </c>
      <c r="L13">
        <v>0.14876531045866001</v>
      </c>
      <c r="M13">
        <v>4.8728650579533503E-2</v>
      </c>
      <c r="N13">
        <v>5.3247451384596002E-2</v>
      </c>
      <c r="O13" s="2">
        <f>B2-P13</f>
        <v>1000</v>
      </c>
      <c r="P13">
        <v>0</v>
      </c>
      <c r="Q13" s="1">
        <f t="shared" si="0"/>
        <v>0</v>
      </c>
    </row>
    <row r="14" spans="1:17" x14ac:dyDescent="0.25">
      <c r="A14">
        <v>1.46409999999998</v>
      </c>
      <c r="B14">
        <v>0.16557074063289801</v>
      </c>
      <c r="C14">
        <v>1.7433250528623201</v>
      </c>
      <c r="D14">
        <v>0.212900919050485</v>
      </c>
      <c r="E14">
        <v>0.233026623235182</v>
      </c>
      <c r="F14">
        <v>0.13206945142799001</v>
      </c>
      <c r="G14">
        <v>1.6414092889882199</v>
      </c>
      <c r="H14">
        <v>0.20106402523497399</v>
      </c>
      <c r="I14">
        <v>7.9402377291249701E-2</v>
      </c>
      <c r="J14">
        <v>9.9543145187635407E-2</v>
      </c>
      <c r="K14">
        <v>1.64262768638393</v>
      </c>
      <c r="L14">
        <v>0.202244659683086</v>
      </c>
      <c r="M14">
        <v>7.9322394948512107E-2</v>
      </c>
      <c r="N14">
        <v>9.6565208444930703E-2</v>
      </c>
      <c r="O14" s="2">
        <f>B2-P14</f>
        <v>1000</v>
      </c>
      <c r="P14">
        <v>0</v>
      </c>
      <c r="Q14" s="1">
        <f t="shared" si="0"/>
        <v>0</v>
      </c>
    </row>
    <row r="15" spans="1:17" x14ac:dyDescent="0.25">
      <c r="A15">
        <v>1.6105099999999799</v>
      </c>
      <c r="B15">
        <v>0.20696342579112301</v>
      </c>
      <c r="C15">
        <v>2.1798203791075799</v>
      </c>
      <c r="D15">
        <v>0.28838883279557898</v>
      </c>
      <c r="E15">
        <v>0.59018748027030299</v>
      </c>
      <c r="F15">
        <v>0.18047330465584899</v>
      </c>
      <c r="G15">
        <v>2.2520377889700001</v>
      </c>
      <c r="H15">
        <v>0.27290611407491699</v>
      </c>
      <c r="I15">
        <v>0.13209292425483601</v>
      </c>
      <c r="J15">
        <v>0.1840105656921</v>
      </c>
      <c r="K15">
        <v>2.1973924292275</v>
      </c>
      <c r="L15">
        <v>0.27104493680297498</v>
      </c>
      <c r="M15">
        <v>0.188944948989091</v>
      </c>
      <c r="N15">
        <v>0.17747089918137399</v>
      </c>
      <c r="O15" s="2">
        <f>B2-P15</f>
        <v>999</v>
      </c>
      <c r="P15">
        <v>1</v>
      </c>
      <c r="Q15" s="1">
        <f t="shared" si="0"/>
        <v>1E-3</v>
      </c>
    </row>
    <row r="16" spans="1:17" x14ac:dyDescent="0.25">
      <c r="A16">
        <v>1.7715610000000099</v>
      </c>
      <c r="B16">
        <v>0.24835611094934601</v>
      </c>
      <c r="C16">
        <v>2.6311883132710601</v>
      </c>
      <c r="D16">
        <v>0.352078237175588</v>
      </c>
      <c r="E16">
        <v>4.1068804068208902</v>
      </c>
      <c r="F16">
        <v>0.213200433782188</v>
      </c>
      <c r="G16">
        <v>2.8120485087334601</v>
      </c>
      <c r="H16">
        <v>0.33492364459410501</v>
      </c>
      <c r="I16">
        <v>0.180783589253834</v>
      </c>
      <c r="J16">
        <v>0.22846745580421701</v>
      </c>
      <c r="K16">
        <v>2.7099428926474398</v>
      </c>
      <c r="L16">
        <v>0.33064578520578702</v>
      </c>
      <c r="M16">
        <v>0.28415531328082699</v>
      </c>
      <c r="N16">
        <v>0.220852805430516</v>
      </c>
      <c r="O16" s="2">
        <f>B2-P16</f>
        <v>999</v>
      </c>
      <c r="P16">
        <v>1</v>
      </c>
      <c r="Q16" s="1">
        <f t="shared" si="0"/>
        <v>1E-3</v>
      </c>
    </row>
    <row r="17" spans="1:17" x14ac:dyDescent="0.25">
      <c r="A17">
        <v>1.9487171000000201</v>
      </c>
      <c r="B17">
        <v>0.28974879610757398</v>
      </c>
      <c r="C17">
        <v>3.0791247741171301</v>
      </c>
      <c r="D17">
        <v>0.41057116326561899</v>
      </c>
      <c r="E17">
        <v>3.1855851850018801</v>
      </c>
      <c r="F17">
        <v>0.234531500068452</v>
      </c>
      <c r="G17">
        <v>3.5100112492637701</v>
      </c>
      <c r="H17">
        <v>0.39445635827914899</v>
      </c>
      <c r="I17">
        <v>0.231975943064438</v>
      </c>
      <c r="J17">
        <v>0.27013858548931702</v>
      </c>
      <c r="K17">
        <v>3.3408010963261399</v>
      </c>
      <c r="L17">
        <v>0.38850460607289</v>
      </c>
      <c r="M17">
        <v>0.41519715990223199</v>
      </c>
      <c r="N17">
        <v>0.26077157393308698</v>
      </c>
      <c r="O17" s="2">
        <f>B2-P17</f>
        <v>992</v>
      </c>
      <c r="P17">
        <v>8</v>
      </c>
      <c r="Q17" s="1">
        <f t="shared" si="0"/>
        <v>8.0000000000000002E-3</v>
      </c>
    </row>
    <row r="18" spans="1:17" x14ac:dyDescent="0.25">
      <c r="A18">
        <v>2.1435888099999798</v>
      </c>
      <c r="B18">
        <v>0.33114148126579601</v>
      </c>
      <c r="C18">
        <v>3.5451555116620201</v>
      </c>
      <c r="D18">
        <v>0.46558574028420702</v>
      </c>
      <c r="E18">
        <v>5.8658129364037501</v>
      </c>
      <c r="F18">
        <v>0.24966134397681899</v>
      </c>
      <c r="G18">
        <v>4.5331952065935104</v>
      </c>
      <c r="H18">
        <v>0.454139505382193</v>
      </c>
      <c r="I18">
        <v>0.28971293222958999</v>
      </c>
      <c r="J18">
        <v>0.32232693915124</v>
      </c>
      <c r="K18">
        <v>4.2394488358381599</v>
      </c>
      <c r="L18">
        <v>0.44528450356517901</v>
      </c>
      <c r="M18">
        <v>0.629153082067893</v>
      </c>
      <c r="N18">
        <v>0.31050099745286802</v>
      </c>
      <c r="O18" s="2">
        <f>B2-P18</f>
        <v>984</v>
      </c>
      <c r="P18">
        <v>16</v>
      </c>
      <c r="Q18" s="1">
        <f t="shared" si="0"/>
        <v>1.6E-2</v>
      </c>
    </row>
    <row r="19" spans="1:17" x14ac:dyDescent="0.25">
      <c r="A19">
        <v>2.3579476909999699</v>
      </c>
      <c r="B19">
        <v>0.37253416642402998</v>
      </c>
      <c r="C19">
        <v>4.1742097129161504</v>
      </c>
      <c r="D19">
        <v>0.52493911476103505</v>
      </c>
      <c r="E19">
        <v>11.357996158807</v>
      </c>
      <c r="F19">
        <v>0.26901030711235302</v>
      </c>
      <c r="G19">
        <v>5.5003868321335201</v>
      </c>
      <c r="H19">
        <v>0.51870864391708404</v>
      </c>
      <c r="I19">
        <v>0.35092474781634397</v>
      </c>
      <c r="J19">
        <v>0.35288481908553299</v>
      </c>
      <c r="K19">
        <v>5.10493615903364</v>
      </c>
      <c r="L19">
        <v>0.50838848607304898</v>
      </c>
      <c r="M19">
        <v>0.82003201273934101</v>
      </c>
      <c r="N19">
        <v>0.33918394424429399</v>
      </c>
      <c r="O19" s="2">
        <f>B2-P19</f>
        <v>976</v>
      </c>
      <c r="P19">
        <v>24</v>
      </c>
      <c r="Q19" s="1">
        <f t="shared" si="0"/>
        <v>2.4E-2</v>
      </c>
    </row>
    <row r="20" spans="1:17" x14ac:dyDescent="0.25">
      <c r="A20">
        <v>2.5937424601000201</v>
      </c>
      <c r="B20">
        <v>0.41392685158224601</v>
      </c>
      <c r="C20">
        <v>4.3286548803134197</v>
      </c>
      <c r="D20">
        <v>0.549793210453701</v>
      </c>
      <c r="E20">
        <v>16.7081718908921</v>
      </c>
      <c r="F20">
        <v>0.25949055801370802</v>
      </c>
      <c r="G20">
        <v>6.3973868340658697</v>
      </c>
      <c r="H20">
        <v>0.56608129560268905</v>
      </c>
      <c r="I20">
        <v>0.39906269413677298</v>
      </c>
      <c r="J20">
        <v>0.37859632716858999</v>
      </c>
      <c r="K20">
        <v>5.8934251975867502</v>
      </c>
      <c r="L20">
        <v>0.55427140028664101</v>
      </c>
      <c r="M20">
        <v>1.0113858376860501</v>
      </c>
      <c r="N20">
        <v>0.36302157829079501</v>
      </c>
      <c r="O20" s="2">
        <f>B2-P20</f>
        <v>966</v>
      </c>
      <c r="P20">
        <v>34</v>
      </c>
      <c r="Q20" s="1">
        <f t="shared" si="0"/>
        <v>3.4000000000000002E-2</v>
      </c>
    </row>
    <row r="21" spans="1:17" x14ac:dyDescent="0.25">
      <c r="A21">
        <v>2.85311670611005</v>
      </c>
      <c r="B21">
        <v>0.45531953674048498</v>
      </c>
      <c r="C21">
        <v>4.7104052472052498</v>
      </c>
      <c r="D21">
        <v>0.58696268265944496</v>
      </c>
      <c r="E21">
        <v>11.7173788021499</v>
      </c>
      <c r="F21">
        <v>0.26559114740562401</v>
      </c>
      <c r="G21">
        <v>7.1490948282815703</v>
      </c>
      <c r="H21">
        <v>0.61322445559764804</v>
      </c>
      <c r="I21">
        <v>0.44645042801892199</v>
      </c>
      <c r="J21">
        <v>0.39313765018654401</v>
      </c>
      <c r="K21">
        <v>6.5687701923010504</v>
      </c>
      <c r="L21">
        <v>0.60001644410220301</v>
      </c>
      <c r="M21">
        <v>1.1519182236729999</v>
      </c>
      <c r="N21">
        <v>0.37706297923024901</v>
      </c>
      <c r="O21" s="2">
        <f>B2-P21</f>
        <v>954</v>
      </c>
      <c r="P21">
        <v>46</v>
      </c>
      <c r="Q21" s="1">
        <f t="shared" si="0"/>
        <v>4.5999999999999999E-2</v>
      </c>
    </row>
    <row r="22" spans="1:17" x14ac:dyDescent="0.25">
      <c r="A22">
        <v>3.1384283767210501</v>
      </c>
      <c r="B22">
        <v>0.49671222189869302</v>
      </c>
      <c r="C22">
        <v>5.07692694604824</v>
      </c>
      <c r="D22">
        <v>0.62346791418723202</v>
      </c>
      <c r="E22">
        <v>16.498422058698399</v>
      </c>
      <c r="F22">
        <v>0.26216146414203201</v>
      </c>
      <c r="G22">
        <v>7.9767495940333104</v>
      </c>
      <c r="H22">
        <v>0.65927468920259402</v>
      </c>
      <c r="I22">
        <v>0.49274585330757797</v>
      </c>
      <c r="J22">
        <v>0.40318952213239601</v>
      </c>
      <c r="K22">
        <v>7.3002377416212196</v>
      </c>
      <c r="L22">
        <v>0.64486655363034795</v>
      </c>
      <c r="M22">
        <v>1.32455238587991</v>
      </c>
      <c r="N22">
        <v>0.38567189161758902</v>
      </c>
      <c r="O22" s="2">
        <f>B2-P22</f>
        <v>937</v>
      </c>
      <c r="P22">
        <v>63</v>
      </c>
      <c r="Q22" s="1">
        <f t="shared" si="0"/>
        <v>6.3E-2</v>
      </c>
    </row>
    <row r="23" spans="1:17" x14ac:dyDescent="0.25">
      <c r="A23">
        <v>3.4522712143930501</v>
      </c>
      <c r="B23">
        <v>0.53810490705693304</v>
      </c>
      <c r="C23">
        <v>5.3687273200322201</v>
      </c>
      <c r="D23">
        <v>0.64321449404820397</v>
      </c>
      <c r="E23">
        <v>24.944913662707901</v>
      </c>
      <c r="F23">
        <v>0.26901136277686299</v>
      </c>
      <c r="G23">
        <v>9.0480110005796597</v>
      </c>
      <c r="H23">
        <v>0.70177947053822398</v>
      </c>
      <c r="I23">
        <v>0.54146731576618201</v>
      </c>
      <c r="J23">
        <v>0.42709144954529699</v>
      </c>
      <c r="K23">
        <v>8.2295915582596493</v>
      </c>
      <c r="L23">
        <v>0.68536657786727695</v>
      </c>
      <c r="M23">
        <v>1.5623440630351899</v>
      </c>
      <c r="N23">
        <v>0.40808242812655399</v>
      </c>
      <c r="O23" s="2">
        <f>B2-P23</f>
        <v>923</v>
      </c>
      <c r="P23">
        <v>77</v>
      </c>
      <c r="Q23" s="1">
        <f t="shared" si="0"/>
        <v>7.6999999999999999E-2</v>
      </c>
    </row>
    <row r="24" spans="1:17" x14ac:dyDescent="0.25">
      <c r="A24">
        <v>3.7974983358323202</v>
      </c>
      <c r="B24">
        <v>0.57949759221514796</v>
      </c>
      <c r="C24">
        <v>5.73481875143887</v>
      </c>
      <c r="D24">
        <v>0.67575666238572996</v>
      </c>
      <c r="E24">
        <v>24.410787078653499</v>
      </c>
      <c r="F24">
        <v>0.26453262408011802</v>
      </c>
      <c r="G24">
        <v>10.2790491056661</v>
      </c>
      <c r="H24">
        <v>0.76146352819650898</v>
      </c>
      <c r="I24">
        <v>0.60549651011170402</v>
      </c>
      <c r="J24">
        <v>0.43776149997770097</v>
      </c>
      <c r="K24">
        <v>9.3123534505624406</v>
      </c>
      <c r="L24">
        <v>0.74301490682803695</v>
      </c>
      <c r="M24">
        <v>1.8203905347364899</v>
      </c>
      <c r="N24">
        <v>0.41748176266661802</v>
      </c>
      <c r="O24" s="2">
        <f>B2-P24</f>
        <v>914</v>
      </c>
      <c r="P24">
        <v>86</v>
      </c>
      <c r="Q24" s="1">
        <f t="shared" si="0"/>
        <v>8.5999999999999993E-2</v>
      </c>
    </row>
    <row r="25" spans="1:17" x14ac:dyDescent="0.25">
      <c r="A25">
        <v>4.1772481694156296</v>
      </c>
      <c r="B25">
        <v>0.62089027737336699</v>
      </c>
      <c r="C25">
        <v>5.8600519374743403</v>
      </c>
      <c r="D25">
        <v>0.68940041618943804</v>
      </c>
      <c r="E25">
        <v>29.032295521745102</v>
      </c>
      <c r="F25">
        <v>0.25787507378137298</v>
      </c>
      <c r="G25">
        <v>10.6988965434129</v>
      </c>
      <c r="H25">
        <v>0.78151121810323898</v>
      </c>
      <c r="I25">
        <v>0.62663647011385004</v>
      </c>
      <c r="J25">
        <v>0.438713266011026</v>
      </c>
      <c r="K25">
        <v>9.6799017683367801</v>
      </c>
      <c r="L25">
        <v>0.76251660176712599</v>
      </c>
      <c r="M25">
        <v>1.91215703214592</v>
      </c>
      <c r="N25">
        <v>0.417748943228895</v>
      </c>
      <c r="O25" s="2">
        <f>B2-P25</f>
        <v>913</v>
      </c>
      <c r="P25">
        <v>87</v>
      </c>
      <c r="Q25" s="1">
        <f t="shared" si="0"/>
        <v>8.6999999999999994E-2</v>
      </c>
    </row>
    <row r="26" spans="1:17" x14ac:dyDescent="0.25">
      <c r="A26">
        <v>4.5949729863573001</v>
      </c>
      <c r="B26">
        <v>0.66228296253159702</v>
      </c>
      <c r="C26">
        <v>6.1987748726103602</v>
      </c>
      <c r="D26">
        <v>0.71739816498599296</v>
      </c>
      <c r="E26">
        <v>22.621299680603499</v>
      </c>
      <c r="F26">
        <v>0.256001294788472</v>
      </c>
      <c r="G26">
        <v>12.113762619553899</v>
      </c>
      <c r="H26">
        <v>0.83558457656658602</v>
      </c>
      <c r="I26">
        <v>0.68959353984544403</v>
      </c>
      <c r="J26">
        <v>0.45449554474732901</v>
      </c>
      <c r="K26">
        <v>10.905857137616399</v>
      </c>
      <c r="L26">
        <v>0.81403736603455501</v>
      </c>
      <c r="M26">
        <v>2.2280009996995198</v>
      </c>
      <c r="N26">
        <v>0.43227784189659801</v>
      </c>
      <c r="O26" s="2">
        <f>B2-P26</f>
        <v>887</v>
      </c>
      <c r="P26">
        <v>113</v>
      </c>
      <c r="Q26" s="1">
        <f t="shared" si="0"/>
        <v>0.113</v>
      </c>
    </row>
    <row r="27" spans="1:17" x14ac:dyDescent="0.25">
      <c r="A27">
        <v>5.0544702849929299</v>
      </c>
      <c r="B27">
        <v>0.70367564768981505</v>
      </c>
      <c r="C27">
        <v>6.2772049922362498</v>
      </c>
      <c r="D27">
        <v>0.72489560651640395</v>
      </c>
      <c r="E27">
        <v>24.804548996908999</v>
      </c>
      <c r="F27">
        <v>0.25277703052922001</v>
      </c>
      <c r="G27">
        <v>12.3210697775989</v>
      </c>
      <c r="H27">
        <v>0.84523576572876302</v>
      </c>
      <c r="I27">
        <v>0.70015762941850901</v>
      </c>
      <c r="J27">
        <v>0.454413129640381</v>
      </c>
      <c r="K27">
        <v>11.087808563129</v>
      </c>
      <c r="L27">
        <v>0.82329888808677998</v>
      </c>
      <c r="M27">
        <v>2.27146890978316</v>
      </c>
      <c r="N27">
        <v>0.43212236627219602</v>
      </c>
      <c r="O27" s="2">
        <f>B2-P27</f>
        <v>869</v>
      </c>
      <c r="P27">
        <v>131</v>
      </c>
      <c r="Q27" s="1">
        <f t="shared" si="0"/>
        <v>0.13100000000000001</v>
      </c>
    </row>
    <row r="28" spans="1:17" x14ac:dyDescent="0.25">
      <c r="A28">
        <v>5.5599173134923197</v>
      </c>
      <c r="B28">
        <v>0.74506833284805996</v>
      </c>
      <c r="C28">
        <v>6.4734564660131202</v>
      </c>
      <c r="D28">
        <v>0.74456686704158603</v>
      </c>
      <c r="E28">
        <v>30.339262527201299</v>
      </c>
      <c r="F28">
        <v>0.24196558859761599</v>
      </c>
      <c r="G28">
        <v>13.602789253439401</v>
      </c>
      <c r="H28">
        <v>0.891659042607302</v>
      </c>
      <c r="I28">
        <v>0.75479112730119002</v>
      </c>
      <c r="J28">
        <v>0.463870944216145</v>
      </c>
      <c r="K28">
        <v>12.1937532290109</v>
      </c>
      <c r="L28">
        <v>0.867451274100692</v>
      </c>
      <c r="M28">
        <v>2.5637701960678299</v>
      </c>
      <c r="N28">
        <v>0.44055631299628201</v>
      </c>
      <c r="O28" s="2">
        <f>B2-P28</f>
        <v>865</v>
      </c>
      <c r="P28">
        <v>135</v>
      </c>
      <c r="Q28" s="1">
        <f t="shared" si="0"/>
        <v>0.13500000000000001</v>
      </c>
    </row>
    <row r="29" spans="1:17" x14ac:dyDescent="0.25">
      <c r="A29">
        <v>6.1159090448414899</v>
      </c>
      <c r="B29">
        <v>0.78646101800627899</v>
      </c>
      <c r="C29">
        <v>6.5136414936994598</v>
      </c>
      <c r="D29">
        <v>0.74222696401216104</v>
      </c>
      <c r="E29">
        <v>36.9703173818965</v>
      </c>
      <c r="F29">
        <v>0.249081234281673</v>
      </c>
      <c r="G29">
        <v>14.4246539905942</v>
      </c>
      <c r="H29">
        <v>0.92452436678901095</v>
      </c>
      <c r="I29">
        <v>0.79260122448913095</v>
      </c>
      <c r="J29">
        <v>0.46445124884186301</v>
      </c>
      <c r="K29">
        <v>12.9081704335781</v>
      </c>
      <c r="L29">
        <v>0.89886764940064701</v>
      </c>
      <c r="M29">
        <v>2.7446398645180499</v>
      </c>
      <c r="N29">
        <v>0.44074792549700997</v>
      </c>
      <c r="O29" s="2">
        <f>B2-P29</f>
        <v>841</v>
      </c>
      <c r="P29">
        <v>159</v>
      </c>
      <c r="Q29" s="1">
        <f t="shared" si="0"/>
        <v>0.159</v>
      </c>
    </row>
    <row r="30" spans="1:17" x14ac:dyDescent="0.25">
      <c r="A30">
        <v>6.7274999493256402</v>
      </c>
      <c r="B30">
        <v>0.82785370316449802</v>
      </c>
      <c r="C30">
        <v>6.7425027739824603</v>
      </c>
      <c r="D30">
        <v>0.75433150405385496</v>
      </c>
      <c r="E30">
        <v>64.096234447160398</v>
      </c>
      <c r="F30">
        <v>0.25616519922193298</v>
      </c>
      <c r="G30">
        <v>13.8863947455506</v>
      </c>
      <c r="H30">
        <v>0.90940151535802405</v>
      </c>
      <c r="I30">
        <v>0.77270837783060098</v>
      </c>
      <c r="J30">
        <v>0.456591658166279</v>
      </c>
      <c r="K30">
        <v>12.448473962080399</v>
      </c>
      <c r="L30">
        <v>0.88472022239213</v>
      </c>
      <c r="M30">
        <v>2.6171876703513099</v>
      </c>
      <c r="N30">
        <v>0.43326336864336601</v>
      </c>
      <c r="O30" s="2">
        <f>B2-P30</f>
        <v>807</v>
      </c>
      <c r="P30">
        <v>193</v>
      </c>
      <c r="Q30" s="1">
        <f t="shared" si="0"/>
        <v>0.193</v>
      </c>
    </row>
    <row r="31" spans="1:17" x14ac:dyDescent="0.25">
      <c r="A31">
        <v>7.4002499442582703</v>
      </c>
      <c r="B31">
        <v>0.86924638832272205</v>
      </c>
      <c r="C31">
        <v>7.2626768940620003</v>
      </c>
      <c r="D31">
        <v>0.78908709251123199</v>
      </c>
      <c r="E31">
        <v>50.286079370645702</v>
      </c>
      <c r="F31">
        <v>0.25333643564409097</v>
      </c>
      <c r="G31">
        <v>15.5483239348131</v>
      </c>
      <c r="H31">
        <v>0.96728980313406598</v>
      </c>
      <c r="I31">
        <v>0.84200712827001301</v>
      </c>
      <c r="J31">
        <v>0.462990341843877</v>
      </c>
      <c r="K31">
        <v>13.8799998666583</v>
      </c>
      <c r="L31">
        <v>0.939714856839591</v>
      </c>
      <c r="M31">
        <v>2.99919779048777</v>
      </c>
      <c r="N31">
        <v>0.43861568927086497</v>
      </c>
      <c r="O31" s="2">
        <f>B2-P31</f>
        <v>790</v>
      </c>
      <c r="P31">
        <v>210</v>
      </c>
      <c r="Q31" s="1">
        <f t="shared" si="0"/>
        <v>0.21</v>
      </c>
    </row>
    <row r="32" spans="1:17" x14ac:dyDescent="0.25">
      <c r="A32">
        <v>8.1402749386840707</v>
      </c>
      <c r="B32">
        <v>0.91063907348096895</v>
      </c>
      <c r="C32">
        <v>7.40495981465555</v>
      </c>
      <c r="D32">
        <v>0.80678446915982205</v>
      </c>
      <c r="E32">
        <v>57.463383171104802</v>
      </c>
      <c r="F32">
        <v>0.240310309732333</v>
      </c>
      <c r="G32">
        <v>16.446832636165102</v>
      </c>
      <c r="H32">
        <v>1.00487729337314</v>
      </c>
      <c r="I32">
        <v>0.88497150765574895</v>
      </c>
      <c r="J32">
        <v>0.45610440079728198</v>
      </c>
      <c r="K32">
        <v>14.664998855014501</v>
      </c>
      <c r="L32">
        <v>0.97569831031313703</v>
      </c>
      <c r="M32">
        <v>3.1913662073818099</v>
      </c>
      <c r="N32">
        <v>0.43169887339121998</v>
      </c>
      <c r="O32" s="2">
        <f>B2-P32</f>
        <v>807</v>
      </c>
      <c r="P32">
        <v>193</v>
      </c>
      <c r="Q32" s="1">
        <f t="shared" si="0"/>
        <v>0.193</v>
      </c>
    </row>
    <row r="33" spans="1:17" x14ac:dyDescent="0.25">
      <c r="A33">
        <v>8.9543024325523408</v>
      </c>
      <c r="B33">
        <v>0.95203175863916201</v>
      </c>
      <c r="C33">
        <v>7.2295146383451598</v>
      </c>
      <c r="D33">
        <v>0.805289015679166</v>
      </c>
      <c r="E33">
        <v>46.3391455877547</v>
      </c>
      <c r="F33">
        <v>0.223349621760254</v>
      </c>
      <c r="G33">
        <v>15.879546928591999</v>
      </c>
      <c r="H33">
        <v>0.98378274370239904</v>
      </c>
      <c r="I33">
        <v>0.85988028924906701</v>
      </c>
      <c r="J33">
        <v>0.45728852267921399</v>
      </c>
      <c r="K33">
        <v>14.1730400065327</v>
      </c>
      <c r="L33">
        <v>0.95562355489987205</v>
      </c>
      <c r="M33">
        <v>3.0658030438650701</v>
      </c>
      <c r="N33">
        <v>0.43295447737376802</v>
      </c>
      <c r="O33" s="2">
        <f>B2-P33</f>
        <v>761</v>
      </c>
      <c r="P33">
        <v>239</v>
      </c>
      <c r="Q33" s="1">
        <f t="shared" si="0"/>
        <v>0.23899999999999999</v>
      </c>
    </row>
    <row r="34" spans="1:17" x14ac:dyDescent="0.25">
      <c r="A34">
        <v>9.8497326758077097</v>
      </c>
      <c r="B34">
        <v>0.99342444379738903</v>
      </c>
      <c r="C34">
        <v>7.3354394692228801</v>
      </c>
      <c r="D34">
        <v>0.81607770297572602</v>
      </c>
      <c r="E34">
        <v>30.3045693378217</v>
      </c>
      <c r="F34">
        <v>0.21100863385364299</v>
      </c>
      <c r="G34">
        <v>17.273064738012</v>
      </c>
      <c r="H34">
        <v>1.0389160055759601</v>
      </c>
      <c r="I34">
        <v>0.92379544300865901</v>
      </c>
      <c r="J34">
        <v>0.44705175518812201</v>
      </c>
      <c r="K34">
        <v>15.3847472552431</v>
      </c>
      <c r="L34">
        <v>1.0082337726214401</v>
      </c>
      <c r="M34">
        <v>3.3709314364053902</v>
      </c>
      <c r="N34">
        <v>0.42265124381478703</v>
      </c>
      <c r="O34" s="2">
        <f>B2-P34</f>
        <v>773</v>
      </c>
      <c r="P34">
        <v>227</v>
      </c>
      <c r="Q34" s="1">
        <f t="shared" si="0"/>
        <v>0.22700000000000001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4.1392685158224501E-2</v>
      </c>
      <c r="B37" s="1">
        <f>$D11</f>
        <v>5.0962155086612303E-2</v>
      </c>
      <c r="C37" s="1">
        <f t="shared" ref="C37:C60" si="1">B37-$E11</f>
        <v>5.0945810587738033E-2</v>
      </c>
      <c r="D37" s="1">
        <f t="shared" ref="D37:D60" si="2">B37+$E11</f>
        <v>5.0978499585486572E-2</v>
      </c>
      <c r="E37" s="1">
        <f>$B37-$F11</f>
        <v>3.7944367225124405E-2</v>
      </c>
      <c r="F37" s="1">
        <f>$B37+$F11</f>
        <v>6.3979942948100207E-2</v>
      </c>
      <c r="G37" s="1">
        <f>$H11</f>
        <v>5.0972999288057902E-2</v>
      </c>
      <c r="H37" s="1">
        <f>$G37-$I11</f>
        <v>4.1380848857603653E-2</v>
      </c>
      <c r="I37" s="1">
        <f>$G37+$I11</f>
        <v>6.0565149718512151E-2</v>
      </c>
      <c r="J37" s="1">
        <f>$G37-$J11</f>
        <v>3.8055551069703403E-2</v>
      </c>
      <c r="K37" s="1">
        <f>$G37+$J11</f>
        <v>6.3890447506412401E-2</v>
      </c>
      <c r="L37" s="1">
        <f>$L11</f>
        <v>5.4886700519805799E-2</v>
      </c>
      <c r="M37" s="1">
        <f>$L37-$M11</f>
        <v>4.39312131822523E-2</v>
      </c>
      <c r="N37" s="1">
        <f>$L37+$M11</f>
        <v>6.5842187857359305E-2</v>
      </c>
      <c r="O37" s="1">
        <f>$L37-$N11</f>
        <v>3.5124046944012499E-2</v>
      </c>
      <c r="P37" s="1">
        <f>$L37+$N11</f>
        <v>7.4649354095599099E-2</v>
      </c>
    </row>
    <row r="38" spans="1:17" x14ac:dyDescent="0.25">
      <c r="A38" s="1">
        <f t="shared" ref="A38:A60" si="3">$B12</f>
        <v>8.2785370316449003E-2</v>
      </c>
      <c r="B38" s="1">
        <f t="shared" ref="B38:B60" si="4">$D12</f>
        <v>0.101257604066051</v>
      </c>
      <c r="C38" s="1">
        <f t="shared" si="1"/>
        <v>0.10036822305757161</v>
      </c>
      <c r="D38" s="1">
        <f t="shared" si="2"/>
        <v>0.10214698507453039</v>
      </c>
      <c r="E38" s="1">
        <f t="shared" ref="E38:E60" si="5">$B38-$F12</f>
        <v>6.5074783150252308E-2</v>
      </c>
      <c r="F38" s="1">
        <f t="shared" ref="F38:F60" si="6">$B38+$F12</f>
        <v>0.13744042498184969</v>
      </c>
      <c r="G38" s="1">
        <f t="shared" ref="G38:G60" si="7">$H12</f>
        <v>0.101067527709747</v>
      </c>
      <c r="H38" s="1">
        <f t="shared" ref="H38:H60" si="8">$G38-$I12</f>
        <v>7.3869807269581006E-2</v>
      </c>
      <c r="I38" s="1">
        <f t="shared" ref="I38:I60" si="9">$G38+$I12</f>
        <v>0.128265248149913</v>
      </c>
      <c r="J38" s="1">
        <f t="shared" ref="J38:J60" si="10">$G38-$J12</f>
        <v>6.7305696587854097E-2</v>
      </c>
      <c r="K38" s="1">
        <f t="shared" ref="K38:K60" si="11">$G38+$J12</f>
        <v>0.13482935883163991</v>
      </c>
      <c r="L38" s="1">
        <f t="shared" ref="L38:L60" si="12">$L12</f>
        <v>0.106627556967586</v>
      </c>
      <c r="M38" s="1">
        <f t="shared" ref="M38:M60" si="13">$L38-$M12</f>
        <v>7.7261966466861204E-2</v>
      </c>
      <c r="N38" s="1">
        <f t="shared" ref="N38:N60" si="14">$L38+$M12</f>
        <v>0.13599314746831079</v>
      </c>
      <c r="O38" s="1">
        <f t="shared" ref="O38:O60" si="15">$L38-$N12</f>
        <v>7.2171610633627495E-2</v>
      </c>
      <c r="P38" s="1">
        <f t="shared" ref="P38:P60" si="16">$L38+$N12</f>
        <v>0.14108350330154451</v>
      </c>
    </row>
    <row r="39" spans="1:17" x14ac:dyDescent="0.25">
      <c r="A39" s="1">
        <f t="shared" si="3"/>
        <v>0.124178055474673</v>
      </c>
      <c r="B39" s="1">
        <f t="shared" si="4"/>
        <v>0.14818875679441301</v>
      </c>
      <c r="C39" s="1">
        <f t="shared" si="1"/>
        <v>0.14027395437593332</v>
      </c>
      <c r="D39" s="1">
        <f t="shared" si="2"/>
        <v>0.15610355921289271</v>
      </c>
      <c r="E39" s="1">
        <f t="shared" si="5"/>
        <v>8.6058028385076812E-2</v>
      </c>
      <c r="F39" s="1">
        <f t="shared" si="6"/>
        <v>0.21031948520374921</v>
      </c>
      <c r="G39" s="1">
        <f t="shared" si="7"/>
        <v>0.145720372828919</v>
      </c>
      <c r="H39" s="1">
        <f t="shared" si="8"/>
        <v>9.8226717097033012E-2</v>
      </c>
      <c r="I39" s="1">
        <f t="shared" si="9"/>
        <v>0.193214028560805</v>
      </c>
      <c r="J39" s="1">
        <f t="shared" si="10"/>
        <v>9.1544312553084595E-2</v>
      </c>
      <c r="K39" s="1">
        <f t="shared" si="11"/>
        <v>0.19989643310475341</v>
      </c>
      <c r="L39" s="1">
        <f t="shared" si="12"/>
        <v>0.14876531045866001</v>
      </c>
      <c r="M39" s="1">
        <f t="shared" si="13"/>
        <v>0.10003665987912651</v>
      </c>
      <c r="N39" s="1">
        <f t="shared" si="14"/>
        <v>0.1974939610381935</v>
      </c>
      <c r="O39" s="1">
        <f t="shared" si="15"/>
        <v>9.5517859074064015E-2</v>
      </c>
      <c r="P39" s="1">
        <f t="shared" si="16"/>
        <v>0.20201276184325601</v>
      </c>
    </row>
    <row r="40" spans="1:17" x14ac:dyDescent="0.25">
      <c r="A40" s="1">
        <f t="shared" si="3"/>
        <v>0.16557074063289801</v>
      </c>
      <c r="B40" s="1">
        <f t="shared" si="4"/>
        <v>0.212900919050485</v>
      </c>
      <c r="C40" s="1">
        <f t="shared" si="1"/>
        <v>-2.0125704184697002E-2</v>
      </c>
      <c r="D40" s="1">
        <f t="shared" si="2"/>
        <v>0.445927542285667</v>
      </c>
      <c r="E40" s="1">
        <f t="shared" si="5"/>
        <v>8.083146762249499E-2</v>
      </c>
      <c r="F40" s="1">
        <f t="shared" si="6"/>
        <v>0.34497037047847501</v>
      </c>
      <c r="G40" s="1">
        <f t="shared" si="7"/>
        <v>0.20106402523497399</v>
      </c>
      <c r="H40" s="1">
        <f t="shared" si="8"/>
        <v>0.12166164794372429</v>
      </c>
      <c r="I40" s="1">
        <f t="shared" si="9"/>
        <v>0.28046640252622368</v>
      </c>
      <c r="J40" s="1">
        <f t="shared" si="10"/>
        <v>0.10152088004733859</v>
      </c>
      <c r="K40" s="1">
        <f t="shared" si="11"/>
        <v>0.30060717042260943</v>
      </c>
      <c r="L40" s="1">
        <f t="shared" si="12"/>
        <v>0.202244659683086</v>
      </c>
      <c r="M40" s="1">
        <f t="shared" si="13"/>
        <v>0.12292226473457389</v>
      </c>
      <c r="N40" s="1">
        <f t="shared" si="14"/>
        <v>0.28156705463159809</v>
      </c>
      <c r="O40" s="1">
        <f t="shared" si="15"/>
        <v>0.10567945123815529</v>
      </c>
      <c r="P40" s="1">
        <f t="shared" si="16"/>
        <v>0.29880986812801669</v>
      </c>
    </row>
    <row r="41" spans="1:17" x14ac:dyDescent="0.25">
      <c r="A41" s="1">
        <f t="shared" si="3"/>
        <v>0.20696342579112301</v>
      </c>
      <c r="B41" s="1">
        <f t="shared" si="4"/>
        <v>0.28838883279557898</v>
      </c>
      <c r="C41" s="1">
        <f t="shared" si="1"/>
        <v>-0.30179864747472401</v>
      </c>
      <c r="D41" s="1">
        <f t="shared" si="2"/>
        <v>0.87857631306588191</v>
      </c>
      <c r="E41" s="1">
        <f t="shared" si="5"/>
        <v>0.10791552813972999</v>
      </c>
      <c r="F41" s="1">
        <f t="shared" si="6"/>
        <v>0.46886213745142796</v>
      </c>
      <c r="G41" s="1">
        <f t="shared" si="7"/>
        <v>0.27290611407491699</v>
      </c>
      <c r="H41" s="1">
        <f t="shared" si="8"/>
        <v>0.14081318982008098</v>
      </c>
      <c r="I41" s="1">
        <f t="shared" si="9"/>
        <v>0.40499903832975304</v>
      </c>
      <c r="J41" s="1">
        <f t="shared" si="10"/>
        <v>8.8895548382816991E-2</v>
      </c>
      <c r="K41" s="1">
        <f t="shared" si="11"/>
        <v>0.456916679767017</v>
      </c>
      <c r="L41" s="1">
        <f t="shared" si="12"/>
        <v>0.27104493680297498</v>
      </c>
      <c r="M41" s="1">
        <f t="shared" si="13"/>
        <v>8.2099987813883973E-2</v>
      </c>
      <c r="N41" s="1">
        <f t="shared" si="14"/>
        <v>0.45998988579206601</v>
      </c>
      <c r="O41" s="1">
        <f t="shared" si="15"/>
        <v>9.3574037621600992E-2</v>
      </c>
      <c r="P41" s="1">
        <f t="shared" si="16"/>
        <v>0.44851583598434897</v>
      </c>
    </row>
    <row r="42" spans="1:17" x14ac:dyDescent="0.25">
      <c r="A42" s="1">
        <f t="shared" si="3"/>
        <v>0.24835611094934601</v>
      </c>
      <c r="B42" s="1">
        <f t="shared" si="4"/>
        <v>0.352078237175588</v>
      </c>
      <c r="C42" s="1">
        <f t="shared" si="1"/>
        <v>-3.754802169645302</v>
      </c>
      <c r="D42" s="1">
        <f t="shared" si="2"/>
        <v>4.4589586439964783</v>
      </c>
      <c r="E42" s="1">
        <f t="shared" si="5"/>
        <v>0.1388778033934</v>
      </c>
      <c r="F42" s="1">
        <f t="shared" si="6"/>
        <v>0.56527867095777595</v>
      </c>
      <c r="G42" s="1">
        <f t="shared" si="7"/>
        <v>0.33492364459410501</v>
      </c>
      <c r="H42" s="1">
        <f t="shared" si="8"/>
        <v>0.154140055340271</v>
      </c>
      <c r="I42" s="1">
        <f t="shared" si="9"/>
        <v>0.51570723384793904</v>
      </c>
      <c r="J42" s="1">
        <f t="shared" si="10"/>
        <v>0.106456188789888</v>
      </c>
      <c r="K42" s="1">
        <f t="shared" si="11"/>
        <v>0.56339110039832208</v>
      </c>
      <c r="L42" s="1">
        <f t="shared" si="12"/>
        <v>0.33064578520578702</v>
      </c>
      <c r="M42" s="1">
        <f t="shared" si="13"/>
        <v>4.6490471924960031E-2</v>
      </c>
      <c r="N42" s="1">
        <f t="shared" si="14"/>
        <v>0.61480109848661402</v>
      </c>
      <c r="O42" s="1">
        <f t="shared" si="15"/>
        <v>0.10979297977527103</v>
      </c>
      <c r="P42" s="1">
        <f t="shared" si="16"/>
        <v>0.55149859063630302</v>
      </c>
    </row>
    <row r="43" spans="1:17" x14ac:dyDescent="0.25">
      <c r="A43" s="1">
        <f t="shared" si="3"/>
        <v>0.28974879610757398</v>
      </c>
      <c r="B43" s="1">
        <f t="shared" si="4"/>
        <v>0.41057116326561899</v>
      </c>
      <c r="C43" s="1">
        <f t="shared" si="1"/>
        <v>-2.7750140217362613</v>
      </c>
      <c r="D43" s="1">
        <f t="shared" si="2"/>
        <v>3.596156348267499</v>
      </c>
      <c r="E43" s="1">
        <f t="shared" si="5"/>
        <v>0.17603966319716699</v>
      </c>
      <c r="F43" s="1">
        <f t="shared" si="6"/>
        <v>0.64510266333407096</v>
      </c>
      <c r="G43" s="1">
        <f t="shared" si="7"/>
        <v>0.39445635827914899</v>
      </c>
      <c r="H43" s="1">
        <f t="shared" si="8"/>
        <v>0.16248041521471099</v>
      </c>
      <c r="I43" s="1">
        <f t="shared" si="9"/>
        <v>0.62643230134358696</v>
      </c>
      <c r="J43" s="1">
        <f t="shared" si="10"/>
        <v>0.12431777278983197</v>
      </c>
      <c r="K43" s="1">
        <f t="shared" si="11"/>
        <v>0.66459494376846595</v>
      </c>
      <c r="L43" s="1">
        <f t="shared" si="12"/>
        <v>0.38850460607289</v>
      </c>
      <c r="M43" s="1">
        <f t="shared" si="13"/>
        <v>-2.6692553829341992E-2</v>
      </c>
      <c r="N43" s="1">
        <f t="shared" si="14"/>
        <v>0.803701765975122</v>
      </c>
      <c r="O43" s="1">
        <f t="shared" si="15"/>
        <v>0.12773303213980303</v>
      </c>
      <c r="P43" s="1">
        <f t="shared" si="16"/>
        <v>0.64927618000597698</v>
      </c>
    </row>
    <row r="44" spans="1:17" x14ac:dyDescent="0.25">
      <c r="A44" s="1">
        <f t="shared" si="3"/>
        <v>0.33114148126579601</v>
      </c>
      <c r="B44" s="1">
        <f t="shared" si="4"/>
        <v>0.46558574028420702</v>
      </c>
      <c r="C44" s="1">
        <f t="shared" si="1"/>
        <v>-5.4002271961195429</v>
      </c>
      <c r="D44" s="1">
        <f t="shared" si="2"/>
        <v>6.3313986766879573</v>
      </c>
      <c r="E44" s="1">
        <f t="shared" si="5"/>
        <v>0.21592439630738802</v>
      </c>
      <c r="F44" s="1">
        <f t="shared" si="6"/>
        <v>0.71524708426102601</v>
      </c>
      <c r="G44" s="1">
        <f t="shared" si="7"/>
        <v>0.454139505382193</v>
      </c>
      <c r="H44" s="1">
        <f t="shared" si="8"/>
        <v>0.16442657315260301</v>
      </c>
      <c r="I44" s="1">
        <f t="shared" si="9"/>
        <v>0.74385243761178299</v>
      </c>
      <c r="J44" s="1">
        <f t="shared" si="10"/>
        <v>0.131812566230953</v>
      </c>
      <c r="K44" s="1">
        <f t="shared" si="11"/>
        <v>0.77646644453343305</v>
      </c>
      <c r="L44" s="1">
        <f t="shared" si="12"/>
        <v>0.44528450356517901</v>
      </c>
      <c r="M44" s="1">
        <f t="shared" si="13"/>
        <v>-0.18386857850271399</v>
      </c>
      <c r="N44" s="1">
        <f t="shared" si="14"/>
        <v>1.0744375856330719</v>
      </c>
      <c r="O44" s="1">
        <f t="shared" si="15"/>
        <v>0.13478350611231099</v>
      </c>
      <c r="P44" s="1">
        <f t="shared" si="16"/>
        <v>0.75578550101804698</v>
      </c>
    </row>
    <row r="45" spans="1:17" x14ac:dyDescent="0.25">
      <c r="A45" s="1">
        <f t="shared" si="3"/>
        <v>0.37253416642402998</v>
      </c>
      <c r="B45" s="1">
        <f t="shared" si="4"/>
        <v>0.52493911476103505</v>
      </c>
      <c r="C45" s="1">
        <f t="shared" si="1"/>
        <v>-10.833057044045965</v>
      </c>
      <c r="D45" s="1">
        <f t="shared" si="2"/>
        <v>11.882935273568034</v>
      </c>
      <c r="E45" s="1">
        <f t="shared" si="5"/>
        <v>0.25592880764868203</v>
      </c>
      <c r="F45" s="1">
        <f t="shared" si="6"/>
        <v>0.79394942187338802</v>
      </c>
      <c r="G45" s="1">
        <f t="shared" si="7"/>
        <v>0.51870864391708404</v>
      </c>
      <c r="H45" s="1">
        <f t="shared" si="8"/>
        <v>0.16778389610074007</v>
      </c>
      <c r="I45" s="1">
        <f t="shared" si="9"/>
        <v>0.86963339173342802</v>
      </c>
      <c r="J45" s="1">
        <f t="shared" si="10"/>
        <v>0.16582382483155106</v>
      </c>
      <c r="K45" s="1">
        <f t="shared" si="11"/>
        <v>0.87159346300261697</v>
      </c>
      <c r="L45" s="1">
        <f t="shared" si="12"/>
        <v>0.50838848607304898</v>
      </c>
      <c r="M45" s="1">
        <f t="shared" si="13"/>
        <v>-0.31164352666629203</v>
      </c>
      <c r="N45" s="1">
        <f t="shared" si="14"/>
        <v>1.32842049881239</v>
      </c>
      <c r="O45" s="1">
        <f t="shared" si="15"/>
        <v>0.169204541828755</v>
      </c>
      <c r="P45" s="1">
        <f t="shared" si="16"/>
        <v>0.84757243031734297</v>
      </c>
    </row>
    <row r="46" spans="1:17" x14ac:dyDescent="0.25">
      <c r="A46" s="1">
        <f t="shared" si="3"/>
        <v>0.41392685158224601</v>
      </c>
      <c r="B46" s="1">
        <f t="shared" si="4"/>
        <v>0.549793210453701</v>
      </c>
      <c r="C46" s="1">
        <f t="shared" si="1"/>
        <v>-16.1583786804384</v>
      </c>
      <c r="D46" s="1">
        <f t="shared" si="2"/>
        <v>17.2579651013458</v>
      </c>
      <c r="E46" s="1">
        <f t="shared" si="5"/>
        <v>0.29030265243999298</v>
      </c>
      <c r="F46" s="1">
        <f t="shared" si="6"/>
        <v>0.80928376846740901</v>
      </c>
      <c r="G46" s="1">
        <f t="shared" si="7"/>
        <v>0.56608129560268905</v>
      </c>
      <c r="H46" s="1">
        <f t="shared" si="8"/>
        <v>0.16701860146591607</v>
      </c>
      <c r="I46" s="1">
        <f t="shared" si="9"/>
        <v>0.96514398973946203</v>
      </c>
      <c r="J46" s="1">
        <f t="shared" si="10"/>
        <v>0.18748496843409906</v>
      </c>
      <c r="K46" s="1">
        <f t="shared" si="11"/>
        <v>0.94467762277127898</v>
      </c>
      <c r="L46" s="1">
        <f t="shared" si="12"/>
        <v>0.55427140028664101</v>
      </c>
      <c r="M46" s="1">
        <f t="shared" si="13"/>
        <v>-0.45711443739940905</v>
      </c>
      <c r="N46" s="1">
        <f t="shared" si="14"/>
        <v>1.5656572379726912</v>
      </c>
      <c r="O46" s="1">
        <f t="shared" si="15"/>
        <v>0.191249821995846</v>
      </c>
      <c r="P46" s="1">
        <f t="shared" si="16"/>
        <v>0.91729297857743597</v>
      </c>
    </row>
    <row r="47" spans="1:17" x14ac:dyDescent="0.25">
      <c r="A47" s="1">
        <f t="shared" si="3"/>
        <v>0.45531953674048498</v>
      </c>
      <c r="B47" s="1">
        <f t="shared" si="4"/>
        <v>0.58696268265944496</v>
      </c>
      <c r="C47" s="1">
        <f t="shared" si="1"/>
        <v>-11.130416119490455</v>
      </c>
      <c r="D47" s="1">
        <f t="shared" si="2"/>
        <v>12.304341484809346</v>
      </c>
      <c r="E47" s="1">
        <f t="shared" si="5"/>
        <v>0.32137153525382095</v>
      </c>
      <c r="F47" s="1">
        <f t="shared" si="6"/>
        <v>0.85255383006506902</v>
      </c>
      <c r="G47" s="1">
        <f t="shared" si="7"/>
        <v>0.61322445559764804</v>
      </c>
      <c r="H47" s="1">
        <f t="shared" si="8"/>
        <v>0.16677402757872606</v>
      </c>
      <c r="I47" s="1">
        <f t="shared" si="9"/>
        <v>1.0596748836165699</v>
      </c>
      <c r="J47" s="1">
        <f t="shared" si="10"/>
        <v>0.22008680541110404</v>
      </c>
      <c r="K47" s="1">
        <f t="shared" si="11"/>
        <v>1.0063621057841921</v>
      </c>
      <c r="L47" s="1">
        <f t="shared" si="12"/>
        <v>0.60001644410220301</v>
      </c>
      <c r="M47" s="1">
        <f t="shared" si="13"/>
        <v>-0.55190177957079689</v>
      </c>
      <c r="N47" s="1">
        <f t="shared" si="14"/>
        <v>1.751934667775203</v>
      </c>
      <c r="O47" s="1">
        <f t="shared" si="15"/>
        <v>0.222953464871954</v>
      </c>
      <c r="P47" s="1">
        <f t="shared" si="16"/>
        <v>0.97707942333245201</v>
      </c>
    </row>
    <row r="48" spans="1:17" x14ac:dyDescent="0.25">
      <c r="A48" s="1">
        <f t="shared" si="3"/>
        <v>0.49671222189869302</v>
      </c>
      <c r="B48" s="1">
        <f t="shared" si="4"/>
        <v>0.62346791418723202</v>
      </c>
      <c r="C48" s="1">
        <f t="shared" si="1"/>
        <v>-15.874954144511166</v>
      </c>
      <c r="D48" s="1">
        <f t="shared" si="2"/>
        <v>17.121889972885629</v>
      </c>
      <c r="E48" s="1">
        <f t="shared" si="5"/>
        <v>0.36130645004520001</v>
      </c>
      <c r="F48" s="1">
        <f t="shared" si="6"/>
        <v>0.88562937832926403</v>
      </c>
      <c r="G48" s="1">
        <f t="shared" si="7"/>
        <v>0.65927468920259402</v>
      </c>
      <c r="H48" s="1">
        <f t="shared" si="8"/>
        <v>0.16652883589501605</v>
      </c>
      <c r="I48" s="1">
        <f t="shared" si="9"/>
        <v>1.1520205425101719</v>
      </c>
      <c r="J48" s="1">
        <f t="shared" si="10"/>
        <v>0.25608516707019802</v>
      </c>
      <c r="K48" s="1">
        <f t="shared" si="11"/>
        <v>1.06246421133499</v>
      </c>
      <c r="L48" s="1">
        <f t="shared" si="12"/>
        <v>0.64486655363034795</v>
      </c>
      <c r="M48" s="1">
        <f t="shared" si="13"/>
        <v>-0.67968583224956203</v>
      </c>
      <c r="N48" s="1">
        <f t="shared" si="14"/>
        <v>1.9694189395102579</v>
      </c>
      <c r="O48" s="1">
        <f t="shared" si="15"/>
        <v>0.25919466201275893</v>
      </c>
      <c r="P48" s="1">
        <f t="shared" si="16"/>
        <v>1.0305384452479369</v>
      </c>
    </row>
    <row r="49" spans="1:16" x14ac:dyDescent="0.25">
      <c r="A49" s="1">
        <f t="shared" si="3"/>
        <v>0.53810490705693304</v>
      </c>
      <c r="B49" s="1">
        <f t="shared" si="4"/>
        <v>0.64321449404820397</v>
      </c>
      <c r="C49" s="1">
        <f t="shared" si="1"/>
        <v>-24.301699168659695</v>
      </c>
      <c r="D49" s="1">
        <f t="shared" si="2"/>
        <v>25.588128156756106</v>
      </c>
      <c r="E49" s="1">
        <f t="shared" si="5"/>
        <v>0.37420313127134097</v>
      </c>
      <c r="F49" s="1">
        <f t="shared" si="6"/>
        <v>0.91222585682506696</v>
      </c>
      <c r="G49" s="1">
        <f t="shared" si="7"/>
        <v>0.70177947053822398</v>
      </c>
      <c r="H49" s="1">
        <f t="shared" si="8"/>
        <v>0.16031215477204197</v>
      </c>
      <c r="I49" s="1">
        <f t="shared" si="9"/>
        <v>1.2432467863044061</v>
      </c>
      <c r="J49" s="1">
        <f t="shared" si="10"/>
        <v>0.274688020992927</v>
      </c>
      <c r="K49" s="1">
        <f t="shared" si="11"/>
        <v>1.128870920083521</v>
      </c>
      <c r="L49" s="1">
        <f t="shared" si="12"/>
        <v>0.68536657786727695</v>
      </c>
      <c r="M49" s="1">
        <f t="shared" si="13"/>
        <v>-0.87697748516791296</v>
      </c>
      <c r="N49" s="1">
        <f t="shared" si="14"/>
        <v>2.2477106409024667</v>
      </c>
      <c r="O49" s="1">
        <f t="shared" si="15"/>
        <v>0.27728414974072296</v>
      </c>
      <c r="P49" s="1">
        <f t="shared" si="16"/>
        <v>1.0934490059938309</v>
      </c>
    </row>
    <row r="50" spans="1:16" x14ac:dyDescent="0.25">
      <c r="A50" s="1">
        <f t="shared" si="3"/>
        <v>0.57949759221514796</v>
      </c>
      <c r="B50" s="1">
        <f t="shared" si="4"/>
        <v>0.67575666238572996</v>
      </c>
      <c r="C50" s="1">
        <f t="shared" si="1"/>
        <v>-23.735030416267769</v>
      </c>
      <c r="D50" s="1">
        <f t="shared" si="2"/>
        <v>25.086543741039229</v>
      </c>
      <c r="E50" s="1">
        <f t="shared" si="5"/>
        <v>0.41122403830561194</v>
      </c>
      <c r="F50" s="1">
        <f t="shared" si="6"/>
        <v>0.94028928646584797</v>
      </c>
      <c r="G50" s="1">
        <f t="shared" si="7"/>
        <v>0.76146352819650898</v>
      </c>
      <c r="H50" s="1">
        <f t="shared" si="8"/>
        <v>0.15596701808480495</v>
      </c>
      <c r="I50" s="1">
        <f t="shared" si="9"/>
        <v>1.366960038308213</v>
      </c>
      <c r="J50" s="1">
        <f t="shared" si="10"/>
        <v>0.323702028218808</v>
      </c>
      <c r="K50" s="1">
        <f t="shared" si="11"/>
        <v>1.1992250281742098</v>
      </c>
      <c r="L50" s="1">
        <f t="shared" si="12"/>
        <v>0.74301490682803695</v>
      </c>
      <c r="M50" s="1">
        <f t="shared" si="13"/>
        <v>-1.077375627908453</v>
      </c>
      <c r="N50" s="1">
        <f t="shared" si="14"/>
        <v>2.5634054415645267</v>
      </c>
      <c r="O50" s="1">
        <f t="shared" si="15"/>
        <v>0.32553314416141893</v>
      </c>
      <c r="P50" s="1">
        <f t="shared" si="16"/>
        <v>1.160496669494655</v>
      </c>
    </row>
    <row r="51" spans="1:16" x14ac:dyDescent="0.25">
      <c r="A51" s="1">
        <f t="shared" si="3"/>
        <v>0.62089027737336699</v>
      </c>
      <c r="B51" s="1">
        <f t="shared" si="4"/>
        <v>0.68940041618943804</v>
      </c>
      <c r="C51" s="1">
        <f t="shared" si="1"/>
        <v>-28.342895105555662</v>
      </c>
      <c r="D51" s="1">
        <f t="shared" si="2"/>
        <v>29.721695937934541</v>
      </c>
      <c r="E51" s="1">
        <f t="shared" si="5"/>
        <v>0.43152534240806506</v>
      </c>
      <c r="F51" s="1">
        <f t="shared" si="6"/>
        <v>0.94727548997081101</v>
      </c>
      <c r="G51" s="1">
        <f t="shared" si="7"/>
        <v>0.78151121810323898</v>
      </c>
      <c r="H51" s="1">
        <f t="shared" si="8"/>
        <v>0.15487474798938894</v>
      </c>
      <c r="I51" s="1">
        <f t="shared" si="9"/>
        <v>1.4081476882170891</v>
      </c>
      <c r="J51" s="1">
        <f t="shared" si="10"/>
        <v>0.34279795209221298</v>
      </c>
      <c r="K51" s="1">
        <f t="shared" si="11"/>
        <v>1.2202244841142651</v>
      </c>
      <c r="L51" s="1">
        <f t="shared" si="12"/>
        <v>0.76251660176712599</v>
      </c>
      <c r="M51" s="1">
        <f t="shared" si="13"/>
        <v>-1.1496404303787942</v>
      </c>
      <c r="N51" s="1">
        <f t="shared" si="14"/>
        <v>2.6746736339130459</v>
      </c>
      <c r="O51" s="1">
        <f t="shared" si="15"/>
        <v>0.34476765853823099</v>
      </c>
      <c r="P51" s="1">
        <f t="shared" si="16"/>
        <v>1.1802655449960211</v>
      </c>
    </row>
    <row r="52" spans="1:16" x14ac:dyDescent="0.25">
      <c r="A52" s="1">
        <f t="shared" si="3"/>
        <v>0.66228296253159702</v>
      </c>
      <c r="B52" s="1">
        <f t="shared" si="4"/>
        <v>0.71739816498599296</v>
      </c>
      <c r="C52" s="1">
        <f t="shared" si="1"/>
        <v>-21.903901515617505</v>
      </c>
      <c r="D52" s="1">
        <f t="shared" si="2"/>
        <v>23.338697845589493</v>
      </c>
      <c r="E52" s="1">
        <f t="shared" si="5"/>
        <v>0.46139687019752096</v>
      </c>
      <c r="F52" s="1">
        <f t="shared" si="6"/>
        <v>0.97339945977446496</v>
      </c>
      <c r="G52" s="1">
        <f t="shared" si="7"/>
        <v>0.83558457656658602</v>
      </c>
      <c r="H52" s="1">
        <f t="shared" si="8"/>
        <v>0.145991036721142</v>
      </c>
      <c r="I52" s="1">
        <f t="shared" si="9"/>
        <v>1.5251781164120302</v>
      </c>
      <c r="J52" s="1">
        <f t="shared" si="10"/>
        <v>0.38108903181925702</v>
      </c>
      <c r="K52" s="1">
        <f t="shared" si="11"/>
        <v>1.290080121313915</v>
      </c>
      <c r="L52" s="1">
        <f t="shared" si="12"/>
        <v>0.81403736603455501</v>
      </c>
      <c r="M52" s="1">
        <f t="shared" si="13"/>
        <v>-1.4139636336649648</v>
      </c>
      <c r="N52" s="1">
        <f t="shared" si="14"/>
        <v>3.0420383657340748</v>
      </c>
      <c r="O52" s="1">
        <f t="shared" si="15"/>
        <v>0.381759524137957</v>
      </c>
      <c r="P52" s="1">
        <f t="shared" si="16"/>
        <v>1.246315207931153</v>
      </c>
    </row>
    <row r="53" spans="1:16" x14ac:dyDescent="0.25">
      <c r="A53" s="1">
        <f t="shared" si="3"/>
        <v>0.70367564768981505</v>
      </c>
      <c r="B53" s="1">
        <f t="shared" si="4"/>
        <v>0.72489560651640395</v>
      </c>
      <c r="C53" s="1">
        <f t="shared" si="1"/>
        <v>-24.079653390392593</v>
      </c>
      <c r="D53" s="1">
        <f t="shared" si="2"/>
        <v>25.529444603425404</v>
      </c>
      <c r="E53" s="1">
        <f t="shared" si="5"/>
        <v>0.47211857598718393</v>
      </c>
      <c r="F53" s="1">
        <f t="shared" si="6"/>
        <v>0.9776726370456239</v>
      </c>
      <c r="G53" s="1">
        <f t="shared" si="7"/>
        <v>0.84523576572876302</v>
      </c>
      <c r="H53" s="1">
        <f t="shared" si="8"/>
        <v>0.14507813631025401</v>
      </c>
      <c r="I53" s="1">
        <f t="shared" si="9"/>
        <v>1.545393395147272</v>
      </c>
      <c r="J53" s="1">
        <f t="shared" si="10"/>
        <v>0.39082263608838202</v>
      </c>
      <c r="K53" s="1">
        <f t="shared" si="11"/>
        <v>1.2996488953691441</v>
      </c>
      <c r="L53" s="1">
        <f t="shared" si="12"/>
        <v>0.82329888808677998</v>
      </c>
      <c r="M53" s="1">
        <f t="shared" si="13"/>
        <v>-1.44817002169638</v>
      </c>
      <c r="N53" s="1">
        <f t="shared" si="14"/>
        <v>3.0947677978699399</v>
      </c>
      <c r="O53" s="1">
        <f t="shared" si="15"/>
        <v>0.39117652181458396</v>
      </c>
      <c r="P53" s="1">
        <f t="shared" si="16"/>
        <v>1.255421254358976</v>
      </c>
    </row>
    <row r="54" spans="1:16" x14ac:dyDescent="0.25">
      <c r="A54" s="1">
        <f t="shared" si="3"/>
        <v>0.74506833284805996</v>
      </c>
      <c r="B54" s="1">
        <f t="shared" si="4"/>
        <v>0.74456686704158603</v>
      </c>
      <c r="C54" s="1">
        <f t="shared" si="1"/>
        <v>-29.594695660159712</v>
      </c>
      <c r="D54" s="1">
        <f t="shared" si="2"/>
        <v>31.083829394242887</v>
      </c>
      <c r="E54" s="1">
        <f t="shared" si="5"/>
        <v>0.50260127844397007</v>
      </c>
      <c r="F54" s="1">
        <f t="shared" si="6"/>
        <v>0.986532455639202</v>
      </c>
      <c r="G54" s="1">
        <f t="shared" si="7"/>
        <v>0.891659042607302</v>
      </c>
      <c r="H54" s="1">
        <f t="shared" si="8"/>
        <v>0.13686791530611198</v>
      </c>
      <c r="I54" s="1">
        <f t="shared" si="9"/>
        <v>1.6464501699084919</v>
      </c>
      <c r="J54" s="1">
        <f t="shared" si="10"/>
        <v>0.427788098391157</v>
      </c>
      <c r="K54" s="1">
        <f t="shared" si="11"/>
        <v>1.3555299868234469</v>
      </c>
      <c r="L54" s="1">
        <f t="shared" si="12"/>
        <v>0.867451274100692</v>
      </c>
      <c r="M54" s="1">
        <f t="shared" si="13"/>
        <v>-1.696318921967138</v>
      </c>
      <c r="N54" s="1">
        <f t="shared" si="14"/>
        <v>3.4312214701685217</v>
      </c>
      <c r="O54" s="1">
        <f t="shared" si="15"/>
        <v>0.42689496110441</v>
      </c>
      <c r="P54" s="1">
        <f t="shared" si="16"/>
        <v>1.3080075870969741</v>
      </c>
    </row>
    <row r="55" spans="1:16" x14ac:dyDescent="0.25">
      <c r="A55" s="1">
        <f t="shared" si="3"/>
        <v>0.78646101800627899</v>
      </c>
      <c r="B55" s="1">
        <f t="shared" si="4"/>
        <v>0.74222696401216104</v>
      </c>
      <c r="C55" s="1">
        <f t="shared" si="1"/>
        <v>-36.228090417884339</v>
      </c>
      <c r="D55" s="1">
        <f t="shared" si="2"/>
        <v>37.712544345908661</v>
      </c>
      <c r="E55" s="1">
        <f t="shared" si="5"/>
        <v>0.49314572973048804</v>
      </c>
      <c r="F55" s="1">
        <f t="shared" si="6"/>
        <v>0.9913081982938341</v>
      </c>
      <c r="G55" s="1">
        <f t="shared" si="7"/>
        <v>0.92452436678901095</v>
      </c>
      <c r="H55" s="1">
        <f t="shared" si="8"/>
        <v>0.13192314229988</v>
      </c>
      <c r="I55" s="1">
        <f t="shared" si="9"/>
        <v>1.7171255912781418</v>
      </c>
      <c r="J55" s="1">
        <f t="shared" si="10"/>
        <v>0.46007311794714795</v>
      </c>
      <c r="K55" s="1">
        <f t="shared" si="11"/>
        <v>1.3889756156308739</v>
      </c>
      <c r="L55" s="1">
        <f t="shared" si="12"/>
        <v>0.89886764940064701</v>
      </c>
      <c r="M55" s="1">
        <f t="shared" si="13"/>
        <v>-1.8457722151174027</v>
      </c>
      <c r="N55" s="1">
        <f t="shared" si="14"/>
        <v>3.643507513918697</v>
      </c>
      <c r="O55" s="1">
        <f t="shared" si="15"/>
        <v>0.45811972390363703</v>
      </c>
      <c r="P55" s="1">
        <f t="shared" si="16"/>
        <v>1.339615574897657</v>
      </c>
    </row>
    <row r="56" spans="1:16" x14ac:dyDescent="0.25">
      <c r="A56" s="1">
        <f t="shared" si="3"/>
        <v>0.82785370316449802</v>
      </c>
      <c r="B56" s="1">
        <f t="shared" si="4"/>
        <v>0.75433150405385496</v>
      </c>
      <c r="C56" s="1">
        <f t="shared" si="1"/>
        <v>-63.341902943106547</v>
      </c>
      <c r="D56" s="1">
        <f t="shared" si="2"/>
        <v>64.85056595121425</v>
      </c>
      <c r="E56" s="1">
        <f t="shared" si="5"/>
        <v>0.49816630483192198</v>
      </c>
      <c r="F56" s="1">
        <f t="shared" si="6"/>
        <v>1.0104967032757879</v>
      </c>
      <c r="G56" s="1">
        <f t="shared" si="7"/>
        <v>0.90940151535802405</v>
      </c>
      <c r="H56" s="1">
        <f t="shared" si="8"/>
        <v>0.13669313752742307</v>
      </c>
      <c r="I56" s="1">
        <f t="shared" si="9"/>
        <v>1.6821098931886249</v>
      </c>
      <c r="J56" s="1">
        <f t="shared" si="10"/>
        <v>0.45280985719174505</v>
      </c>
      <c r="K56" s="1">
        <f t="shared" si="11"/>
        <v>1.3659931735243029</v>
      </c>
      <c r="L56" s="1">
        <f t="shared" si="12"/>
        <v>0.88472022239213</v>
      </c>
      <c r="M56" s="1">
        <f t="shared" si="13"/>
        <v>-1.73246744795918</v>
      </c>
      <c r="N56" s="1">
        <f t="shared" si="14"/>
        <v>3.5019078927434402</v>
      </c>
      <c r="O56" s="1">
        <f t="shared" si="15"/>
        <v>0.45145685374876399</v>
      </c>
      <c r="P56" s="1">
        <f t="shared" si="16"/>
        <v>1.317983591035496</v>
      </c>
    </row>
    <row r="57" spans="1:16" x14ac:dyDescent="0.25">
      <c r="A57" s="1">
        <f t="shared" si="3"/>
        <v>0.86924638832272205</v>
      </c>
      <c r="B57" s="1">
        <f t="shared" si="4"/>
        <v>0.78908709251123199</v>
      </c>
      <c r="C57" s="1">
        <f t="shared" si="1"/>
        <v>-49.496992278134471</v>
      </c>
      <c r="D57" s="1">
        <f t="shared" si="2"/>
        <v>51.075166463156933</v>
      </c>
      <c r="E57" s="1">
        <f t="shared" si="5"/>
        <v>0.53575065686714107</v>
      </c>
      <c r="F57" s="1">
        <f t="shared" si="6"/>
        <v>1.0424235281553229</v>
      </c>
      <c r="G57" s="1">
        <f t="shared" si="7"/>
        <v>0.96728980313406598</v>
      </c>
      <c r="H57" s="1">
        <f t="shared" si="8"/>
        <v>0.12528267486405298</v>
      </c>
      <c r="I57" s="1">
        <f t="shared" si="9"/>
        <v>1.809296931404079</v>
      </c>
      <c r="J57" s="1">
        <f t="shared" si="10"/>
        <v>0.50429946129018899</v>
      </c>
      <c r="K57" s="1">
        <f t="shared" si="11"/>
        <v>1.430280144977943</v>
      </c>
      <c r="L57" s="1">
        <f t="shared" si="12"/>
        <v>0.939714856839591</v>
      </c>
      <c r="M57" s="1">
        <f t="shared" si="13"/>
        <v>-2.0594829336481792</v>
      </c>
      <c r="N57" s="1">
        <f t="shared" si="14"/>
        <v>3.9389126473273608</v>
      </c>
      <c r="O57" s="1">
        <f t="shared" si="15"/>
        <v>0.50109916756872597</v>
      </c>
      <c r="P57" s="1">
        <f t="shared" si="16"/>
        <v>1.378330546110456</v>
      </c>
    </row>
    <row r="58" spans="1:16" x14ac:dyDescent="0.25">
      <c r="A58" s="1">
        <f t="shared" si="3"/>
        <v>0.91063907348096895</v>
      </c>
      <c r="B58" s="1">
        <f t="shared" si="4"/>
        <v>0.80678446915982205</v>
      </c>
      <c r="C58" s="1">
        <f t="shared" si="1"/>
        <v>-56.656598701944979</v>
      </c>
      <c r="D58" s="1">
        <f t="shared" si="2"/>
        <v>58.270167640264624</v>
      </c>
      <c r="E58" s="1">
        <f t="shared" si="5"/>
        <v>0.56647415942748902</v>
      </c>
      <c r="F58" s="1">
        <f t="shared" si="6"/>
        <v>1.047094778892155</v>
      </c>
      <c r="G58" s="1">
        <f t="shared" si="7"/>
        <v>1.00487729337314</v>
      </c>
      <c r="H58" s="1">
        <f t="shared" si="8"/>
        <v>0.11990578571739108</v>
      </c>
      <c r="I58" s="1">
        <f t="shared" si="9"/>
        <v>1.889848801028889</v>
      </c>
      <c r="J58" s="1">
        <f t="shared" si="10"/>
        <v>0.54877289257585804</v>
      </c>
      <c r="K58" s="1">
        <f t="shared" si="11"/>
        <v>1.4609816941704219</v>
      </c>
      <c r="L58" s="1">
        <f t="shared" si="12"/>
        <v>0.97569831031313703</v>
      </c>
      <c r="M58" s="1">
        <f t="shared" si="13"/>
        <v>-2.215667897068673</v>
      </c>
      <c r="N58" s="1">
        <f t="shared" si="14"/>
        <v>4.1670645176949472</v>
      </c>
      <c r="O58" s="1">
        <f t="shared" si="15"/>
        <v>0.54399943692191699</v>
      </c>
      <c r="P58" s="1">
        <f t="shared" si="16"/>
        <v>1.4073971837043571</v>
      </c>
    </row>
    <row r="59" spans="1:16" x14ac:dyDescent="0.25">
      <c r="A59" s="1">
        <f t="shared" si="3"/>
        <v>0.95203175863916201</v>
      </c>
      <c r="B59" s="1">
        <f t="shared" si="4"/>
        <v>0.805289015679166</v>
      </c>
      <c r="C59" s="1">
        <f t="shared" si="1"/>
        <v>-45.533856572075535</v>
      </c>
      <c r="D59" s="1">
        <f t="shared" si="2"/>
        <v>47.144434603433865</v>
      </c>
      <c r="E59" s="1">
        <f t="shared" si="5"/>
        <v>0.58193939391891203</v>
      </c>
      <c r="F59" s="1">
        <f t="shared" si="6"/>
        <v>1.0286386374394201</v>
      </c>
      <c r="G59" s="1">
        <f t="shared" si="7"/>
        <v>0.98378274370239904</v>
      </c>
      <c r="H59" s="1">
        <f t="shared" si="8"/>
        <v>0.12390245445333203</v>
      </c>
      <c r="I59" s="1">
        <f t="shared" si="9"/>
        <v>1.8436630329514661</v>
      </c>
      <c r="J59" s="1">
        <f t="shared" si="10"/>
        <v>0.5264942210231851</v>
      </c>
      <c r="K59" s="1">
        <f t="shared" si="11"/>
        <v>1.441071266381613</v>
      </c>
      <c r="L59" s="1">
        <f t="shared" si="12"/>
        <v>0.95562355489987205</v>
      </c>
      <c r="M59" s="1">
        <f t="shared" si="13"/>
        <v>-2.1101794889651981</v>
      </c>
      <c r="N59" s="1">
        <f t="shared" si="14"/>
        <v>4.0214265987649425</v>
      </c>
      <c r="O59" s="1">
        <f t="shared" si="15"/>
        <v>0.52266907752610403</v>
      </c>
      <c r="P59" s="1">
        <f t="shared" si="16"/>
        <v>1.3885780322736401</v>
      </c>
    </row>
    <row r="60" spans="1:16" x14ac:dyDescent="0.25">
      <c r="A60" s="1">
        <f t="shared" si="3"/>
        <v>0.99342444379738903</v>
      </c>
      <c r="B60" s="1">
        <f t="shared" si="4"/>
        <v>0.81607770297572602</v>
      </c>
      <c r="C60" s="1">
        <f t="shared" si="1"/>
        <v>-29.488491634845975</v>
      </c>
      <c r="D60" s="1">
        <f t="shared" si="2"/>
        <v>31.120647040797426</v>
      </c>
      <c r="E60" s="1">
        <f t="shared" si="5"/>
        <v>0.60506906912208303</v>
      </c>
      <c r="F60" s="1">
        <f t="shared" si="6"/>
        <v>1.027086336829369</v>
      </c>
      <c r="G60" s="1">
        <f t="shared" si="7"/>
        <v>1.0389160055759601</v>
      </c>
      <c r="H60" s="1">
        <f t="shared" si="8"/>
        <v>0.11512056256730108</v>
      </c>
      <c r="I60" s="1">
        <f t="shared" si="9"/>
        <v>1.9627114485846191</v>
      </c>
      <c r="J60" s="1">
        <f t="shared" si="10"/>
        <v>0.59186425038783808</v>
      </c>
      <c r="K60" s="1">
        <f t="shared" si="11"/>
        <v>1.485967760764082</v>
      </c>
      <c r="L60" s="1">
        <f t="shared" si="12"/>
        <v>1.0082337726214401</v>
      </c>
      <c r="M60" s="1">
        <f t="shared" si="13"/>
        <v>-2.3626976637839503</v>
      </c>
      <c r="N60" s="1">
        <f t="shared" si="14"/>
        <v>4.37916520902683</v>
      </c>
      <c r="O60" s="1">
        <f t="shared" si="15"/>
        <v>0.58558252880665307</v>
      </c>
      <c r="P60" s="1">
        <f t="shared" si="16"/>
        <v>1.430885016436227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Q10" sqref="Q10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128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1.13037640482691</v>
      </c>
      <c r="D11">
        <v>5.3137066190106802E-2</v>
      </c>
      <c r="E11" s="7">
        <v>3.2157639716274799E-6</v>
      </c>
      <c r="F11">
        <v>8.6259109664889207E-3</v>
      </c>
      <c r="G11">
        <v>1.13043914362758</v>
      </c>
      <c r="H11">
        <v>5.3160712074980097E-2</v>
      </c>
      <c r="I11">
        <v>7.1000521849662896E-3</v>
      </c>
      <c r="J11">
        <v>8.6482083513785193E-3</v>
      </c>
      <c r="K11">
        <v>1.1416900000000001</v>
      </c>
      <c r="L11">
        <v>5.7080512833191703E-2</v>
      </c>
      <c r="M11">
        <v>8.1757431223207101E-3</v>
      </c>
      <c r="N11">
        <v>2.0091217773907499E-2</v>
      </c>
      <c r="O11">
        <v>1000</v>
      </c>
      <c r="P11">
        <v>0</v>
      </c>
      <c r="Q11">
        <v>0</v>
      </c>
    </row>
    <row r="12" spans="1:17" x14ac:dyDescent="0.25">
      <c r="A12">
        <v>1.21000000000001</v>
      </c>
      <c r="B12">
        <v>8.2785370316449003E-2</v>
      </c>
      <c r="C12">
        <v>1.2617135012823</v>
      </c>
      <c r="D12">
        <v>0.10042599614315199</v>
      </c>
      <c r="E12" s="7">
        <v>1.69828022227373E-5</v>
      </c>
      <c r="F12">
        <v>2.1360433469358599E-2</v>
      </c>
      <c r="G12">
        <v>1.26064320532176</v>
      </c>
      <c r="H12">
        <v>0.10009632523926699</v>
      </c>
      <c r="I12">
        <v>1.84483248980362E-2</v>
      </c>
      <c r="J12">
        <v>2.0598691587620899E-2</v>
      </c>
      <c r="K12">
        <v>1.2685785199999999</v>
      </c>
      <c r="L12">
        <v>0.102653859192396</v>
      </c>
      <c r="M12">
        <v>1.92285936826685E-2</v>
      </c>
      <c r="N12">
        <v>2.3847788806657999E-2</v>
      </c>
      <c r="O12">
        <v>1000</v>
      </c>
      <c r="P12">
        <v>0</v>
      </c>
      <c r="Q12">
        <v>0</v>
      </c>
    </row>
    <row r="13" spans="1:17" x14ac:dyDescent="0.25">
      <c r="A13">
        <v>1.33099999999998</v>
      </c>
      <c r="B13">
        <v>0.124178055474673</v>
      </c>
      <c r="C13">
        <v>1.42298461741361</v>
      </c>
      <c r="D13">
        <v>0.15096598900102901</v>
      </c>
      <c r="E13" s="7">
        <v>1.6076245440920501E-4</v>
      </c>
      <c r="F13">
        <v>4.2799468765235597E-2</v>
      </c>
      <c r="G13">
        <v>1.41564346956471</v>
      </c>
      <c r="H13">
        <v>0.14922282471061299</v>
      </c>
      <c r="I13">
        <v>3.3854611989401297E-2</v>
      </c>
      <c r="J13">
        <v>3.8193709328292198E-2</v>
      </c>
      <c r="K13">
        <v>1.42931270690998</v>
      </c>
      <c r="L13">
        <v>0.153277113140906</v>
      </c>
      <c r="M13">
        <v>3.5225045775065598E-2</v>
      </c>
      <c r="N13">
        <v>3.9523029022768698E-2</v>
      </c>
      <c r="O13">
        <v>1000</v>
      </c>
      <c r="P13">
        <v>0</v>
      </c>
      <c r="Q13">
        <v>0</v>
      </c>
    </row>
    <row r="14" spans="1:17" x14ac:dyDescent="0.25">
      <c r="A14">
        <v>1.46409999999998</v>
      </c>
      <c r="B14">
        <v>0.16557074063289801</v>
      </c>
      <c r="C14">
        <v>1.6155770746016</v>
      </c>
      <c r="D14">
        <v>0.20180294689189299</v>
      </c>
      <c r="E14">
        <v>4.2974830602509201E-3</v>
      </c>
      <c r="F14">
        <v>7.0930298838585704E-2</v>
      </c>
      <c r="G14">
        <v>1.58589588480024</v>
      </c>
      <c r="H14">
        <v>0.19578481764345501</v>
      </c>
      <c r="I14">
        <v>5.1360620366076297E-2</v>
      </c>
      <c r="J14">
        <v>6.01520679961252E-2</v>
      </c>
      <c r="K14">
        <v>1.58941831330404</v>
      </c>
      <c r="L14">
        <v>0.19702918135314901</v>
      </c>
      <c r="M14">
        <v>5.1691159674359902E-2</v>
      </c>
      <c r="N14">
        <v>5.8573244198231199E-2</v>
      </c>
      <c r="O14">
        <v>1000</v>
      </c>
      <c r="P14">
        <v>0</v>
      </c>
      <c r="Q14">
        <v>0</v>
      </c>
    </row>
    <row r="15" spans="1:17" x14ac:dyDescent="0.25">
      <c r="A15">
        <v>1.6105099999999799</v>
      </c>
      <c r="B15">
        <v>0.20696342579112301</v>
      </c>
      <c r="C15">
        <v>1.8834308889357101</v>
      </c>
      <c r="D15">
        <v>0.26045372671146699</v>
      </c>
      <c r="E15">
        <v>4.6476406711921603E-2</v>
      </c>
      <c r="F15">
        <v>0.101829626913613</v>
      </c>
      <c r="G15">
        <v>1.82790069921861</v>
      </c>
      <c r="H15">
        <v>0.247581152564116</v>
      </c>
      <c r="I15">
        <v>7.3697581953183794E-2</v>
      </c>
      <c r="J15">
        <v>8.9023504000857498E-2</v>
      </c>
      <c r="K15">
        <v>1.8234303463352599</v>
      </c>
      <c r="L15">
        <v>0.24823208284117901</v>
      </c>
      <c r="M15">
        <v>7.6595962593864295E-2</v>
      </c>
      <c r="N15">
        <v>8.5468273524110697E-2</v>
      </c>
      <c r="O15">
        <v>1000</v>
      </c>
      <c r="P15">
        <v>0</v>
      </c>
      <c r="Q15">
        <v>0</v>
      </c>
    </row>
    <row r="16" spans="1:17" x14ac:dyDescent="0.25">
      <c r="A16">
        <v>1.7715610000000099</v>
      </c>
      <c r="B16">
        <v>0.24835611094934601</v>
      </c>
      <c r="C16">
        <v>2.30167665203395</v>
      </c>
      <c r="D16">
        <v>0.328706647984773</v>
      </c>
      <c r="E16">
        <v>0.16368685999014099</v>
      </c>
      <c r="F16">
        <v>0.15143218475515299</v>
      </c>
      <c r="G16">
        <v>2.1182450698233599</v>
      </c>
      <c r="H16">
        <v>0.29999544026466102</v>
      </c>
      <c r="I16">
        <v>9.9297985690190299E-2</v>
      </c>
      <c r="J16">
        <v>0.12028131978638899</v>
      </c>
      <c r="K16">
        <v>2.0965369616318901</v>
      </c>
      <c r="L16">
        <v>0.298151811089306</v>
      </c>
      <c r="M16">
        <v>0.103732944058692</v>
      </c>
      <c r="N16">
        <v>0.11619534905301999</v>
      </c>
      <c r="O16">
        <v>1000</v>
      </c>
      <c r="P16">
        <v>0</v>
      </c>
      <c r="Q16">
        <v>0</v>
      </c>
    </row>
    <row r="17" spans="1:17" x14ac:dyDescent="0.25">
      <c r="A17">
        <v>1.9487171000000201</v>
      </c>
      <c r="B17">
        <v>0.28974879610757398</v>
      </c>
      <c r="C17">
        <v>2.6866111625545899</v>
      </c>
      <c r="D17">
        <v>0.38337211978582902</v>
      </c>
      <c r="E17">
        <v>0.45462793102632199</v>
      </c>
      <c r="F17">
        <v>0.17713369468963799</v>
      </c>
      <c r="G17">
        <v>4.6948517295341903</v>
      </c>
      <c r="H17">
        <v>0.35887565276021</v>
      </c>
      <c r="I17">
        <v>0.134572420518559</v>
      </c>
      <c r="J17">
        <v>0.20002698812457301</v>
      </c>
      <c r="K17">
        <v>2.51505825542448</v>
      </c>
      <c r="L17">
        <v>0.35125922593653403</v>
      </c>
      <c r="M17">
        <v>0.14365878709156901</v>
      </c>
      <c r="N17">
        <v>0.162828696360547</v>
      </c>
      <c r="O17">
        <v>1000</v>
      </c>
      <c r="P17">
        <v>0</v>
      </c>
      <c r="Q17">
        <v>0</v>
      </c>
    </row>
    <row r="18" spans="1:17" x14ac:dyDescent="0.25">
      <c r="A18">
        <v>2.1435888099999798</v>
      </c>
      <c r="B18">
        <v>0.33114148126579601</v>
      </c>
      <c r="C18">
        <v>3.2459386010254998</v>
      </c>
      <c r="D18">
        <v>0.45388005654751001</v>
      </c>
      <c r="E18">
        <v>0.72656624170183504</v>
      </c>
      <c r="F18">
        <v>0.20495595687408999</v>
      </c>
      <c r="G18">
        <v>5.1470123953618296</v>
      </c>
      <c r="H18">
        <v>0.41391366114989497</v>
      </c>
      <c r="I18">
        <v>0.16611919100814301</v>
      </c>
      <c r="J18">
        <v>0.22073572154836199</v>
      </c>
      <c r="K18">
        <v>2.9345163616710899</v>
      </c>
      <c r="L18">
        <v>0.40449081883923599</v>
      </c>
      <c r="M18">
        <v>0.185281698109799</v>
      </c>
      <c r="N18">
        <v>0.187424077645821</v>
      </c>
      <c r="O18">
        <v>1000</v>
      </c>
      <c r="P18">
        <v>0</v>
      </c>
      <c r="Q18">
        <v>0</v>
      </c>
    </row>
    <row r="19" spans="1:17" x14ac:dyDescent="0.25">
      <c r="A19">
        <v>2.3579476909999699</v>
      </c>
      <c r="B19">
        <v>0.37253416642402998</v>
      </c>
      <c r="C19">
        <v>3.58294182032536</v>
      </c>
      <c r="D19">
        <v>0.49777655928582798</v>
      </c>
      <c r="E19">
        <v>0.92118950751359996</v>
      </c>
      <c r="F19">
        <v>0.207994137210126</v>
      </c>
      <c r="G19">
        <v>4.6313827455625898</v>
      </c>
      <c r="H19">
        <v>0.46773027148644902</v>
      </c>
      <c r="I19">
        <v>0.19831384815074901</v>
      </c>
      <c r="J19">
        <v>0.23224764731636899</v>
      </c>
      <c r="K19">
        <v>3.4402542894255199</v>
      </c>
      <c r="L19">
        <v>0.458515414462695</v>
      </c>
      <c r="M19">
        <v>0.231358061726956</v>
      </c>
      <c r="N19">
        <v>0.21423673137014901</v>
      </c>
      <c r="O19">
        <v>1000</v>
      </c>
      <c r="P19">
        <v>0</v>
      </c>
      <c r="Q19">
        <v>0</v>
      </c>
    </row>
    <row r="20" spans="1:17" x14ac:dyDescent="0.25">
      <c r="A20">
        <v>2.5937424601000201</v>
      </c>
      <c r="B20">
        <v>0.41392685158224601</v>
      </c>
      <c r="C20">
        <v>4.02321804283687</v>
      </c>
      <c r="D20">
        <v>0.54472886615065097</v>
      </c>
      <c r="E20">
        <v>1.3722821665478599</v>
      </c>
      <c r="F20">
        <v>0.21750789213444099</v>
      </c>
      <c r="G20">
        <v>8.6035913049774404</v>
      </c>
      <c r="H20">
        <v>0.52736747391069405</v>
      </c>
      <c r="I20">
        <v>0.24172849155384801</v>
      </c>
      <c r="J20">
        <v>0.296700158464969</v>
      </c>
      <c r="K20">
        <v>4.1344205648858097</v>
      </c>
      <c r="L20">
        <v>0.51188559394150301</v>
      </c>
      <c r="M20">
        <v>0.30635931175839498</v>
      </c>
      <c r="N20">
        <v>0.249987035173863</v>
      </c>
      <c r="O20">
        <v>1000</v>
      </c>
      <c r="P20">
        <v>0</v>
      </c>
      <c r="Q20">
        <v>0</v>
      </c>
    </row>
    <row r="21" spans="1:17" x14ac:dyDescent="0.25">
      <c r="A21">
        <v>2.85311670611005</v>
      </c>
      <c r="B21">
        <v>0.45531953674048498</v>
      </c>
      <c r="C21">
        <v>4.4949590041342198</v>
      </c>
      <c r="D21">
        <v>0.59254442455073197</v>
      </c>
      <c r="E21">
        <v>1.7578855808290199</v>
      </c>
      <c r="F21">
        <v>0.220381381163607</v>
      </c>
      <c r="G21">
        <v>10.411695990519</v>
      </c>
      <c r="H21">
        <v>0.58265062014126601</v>
      </c>
      <c r="I21">
        <v>0.280233181717087</v>
      </c>
      <c r="J21">
        <v>0.32274247756637597</v>
      </c>
      <c r="K21">
        <v>4.8166483248304699</v>
      </c>
      <c r="L21">
        <v>0.56462919758288399</v>
      </c>
      <c r="M21">
        <v>0.37948586028782599</v>
      </c>
      <c r="N21">
        <v>0.26980162443191102</v>
      </c>
      <c r="O21">
        <v>996</v>
      </c>
      <c r="P21">
        <v>4</v>
      </c>
      <c r="Q21">
        <v>4.0000000000000001E-3</v>
      </c>
    </row>
    <row r="22" spans="1:17" x14ac:dyDescent="0.25">
      <c r="A22">
        <v>3.1384283767210501</v>
      </c>
      <c r="B22">
        <v>0.49671222189869302</v>
      </c>
      <c r="C22">
        <v>5.0729377543973797</v>
      </c>
      <c r="D22">
        <v>0.64033006905948797</v>
      </c>
      <c r="E22">
        <v>2.5665881134920001</v>
      </c>
      <c r="F22">
        <v>0.23212375071265501</v>
      </c>
      <c r="G22">
        <v>26.813792885775801</v>
      </c>
      <c r="H22">
        <v>0.679870531859875</v>
      </c>
      <c r="I22">
        <v>0.36538979319931802</v>
      </c>
      <c r="J22">
        <v>0.44895372013602097</v>
      </c>
      <c r="K22">
        <v>6.1244919935801896</v>
      </c>
      <c r="L22">
        <v>0.63784134189600294</v>
      </c>
      <c r="M22">
        <v>0.539216894950444</v>
      </c>
      <c r="N22">
        <v>0.31427100361317001</v>
      </c>
      <c r="O22">
        <v>998</v>
      </c>
      <c r="P22">
        <v>2</v>
      </c>
      <c r="Q22">
        <v>2E-3</v>
      </c>
    </row>
    <row r="23" spans="1:17" x14ac:dyDescent="0.25">
      <c r="A23">
        <v>3.4522712143930399</v>
      </c>
      <c r="B23">
        <v>0.53810490705693204</v>
      </c>
      <c r="C23">
        <v>5.1742906188286302</v>
      </c>
      <c r="D23">
        <v>0.64993641989528905</v>
      </c>
      <c r="E23">
        <v>2.6560755378369398</v>
      </c>
      <c r="F23">
        <v>0.23089251092898899</v>
      </c>
      <c r="G23">
        <v>25.954763740869701</v>
      </c>
      <c r="H23">
        <v>0.69143844388815501</v>
      </c>
      <c r="I23">
        <v>0.37206056136594701</v>
      </c>
      <c r="J23">
        <v>0.44109651433983099</v>
      </c>
      <c r="K23">
        <v>6.2394685342131799</v>
      </c>
      <c r="L23">
        <v>0.65003980678939199</v>
      </c>
      <c r="M23">
        <v>0.54878961901521595</v>
      </c>
      <c r="N23">
        <v>0.311595049289214</v>
      </c>
      <c r="O23">
        <v>997</v>
      </c>
      <c r="P23">
        <v>3</v>
      </c>
      <c r="Q23">
        <v>3.0000000000000001E-3</v>
      </c>
    </row>
    <row r="24" spans="1:17" x14ac:dyDescent="0.25">
      <c r="A24">
        <v>3.79749833583231</v>
      </c>
      <c r="B24">
        <v>0.57949759221514796</v>
      </c>
      <c r="C24">
        <v>5.6194525674126199</v>
      </c>
      <c r="D24">
        <v>0.68758327342437497</v>
      </c>
      <c r="E24">
        <v>2.9495957455024202</v>
      </c>
      <c r="F24">
        <v>0.22978959249836201</v>
      </c>
      <c r="G24">
        <v>44.865680856204598</v>
      </c>
      <c r="H24">
        <v>0.79413429465365803</v>
      </c>
      <c r="I24">
        <v>0.46559020601629703</v>
      </c>
      <c r="J24">
        <v>0.53924965039746098</v>
      </c>
      <c r="K24">
        <v>7.7791869008508598</v>
      </c>
      <c r="L24">
        <v>0.72543480304996499</v>
      </c>
      <c r="M24">
        <v>0.75161351211861305</v>
      </c>
      <c r="N24">
        <v>0.34621576653827502</v>
      </c>
      <c r="O24">
        <v>991</v>
      </c>
      <c r="P24">
        <v>9</v>
      </c>
      <c r="Q24">
        <v>8.9999999999999993E-3</v>
      </c>
    </row>
    <row r="25" spans="1:17" x14ac:dyDescent="0.25">
      <c r="A25">
        <v>4.1772481694156403</v>
      </c>
      <c r="B25">
        <v>0.62089027737336899</v>
      </c>
      <c r="C25">
        <v>6.0914088692069299</v>
      </c>
      <c r="D25">
        <v>0.72138893046356001</v>
      </c>
      <c r="E25">
        <v>3.7151219340953499</v>
      </c>
      <c r="F25">
        <v>0.23346367532689699</v>
      </c>
      <c r="G25">
        <v>67.546026527720301</v>
      </c>
      <c r="H25">
        <v>0.873748857516914</v>
      </c>
      <c r="I25">
        <v>0.5444483489452</v>
      </c>
      <c r="J25">
        <v>0.621299498714037</v>
      </c>
      <c r="K25">
        <v>8.7938148846393194</v>
      </c>
      <c r="L25">
        <v>0.77260497738033596</v>
      </c>
      <c r="M25">
        <v>0.89572638799250104</v>
      </c>
      <c r="N25">
        <v>0.36037340280548502</v>
      </c>
      <c r="O25">
        <v>989</v>
      </c>
      <c r="P25">
        <v>11</v>
      </c>
      <c r="Q25">
        <v>1.0999999999999999E-2</v>
      </c>
    </row>
    <row r="26" spans="1:17" x14ac:dyDescent="0.25">
      <c r="A26">
        <v>4.5949729863572601</v>
      </c>
      <c r="B26">
        <v>0.66228296253159302</v>
      </c>
      <c r="C26">
        <v>6.4665845398631303</v>
      </c>
      <c r="D26">
        <v>0.74843770362008899</v>
      </c>
      <c r="E26">
        <v>4.00431306195701</v>
      </c>
      <c r="F26">
        <v>0.23376610244183099</v>
      </c>
      <c r="G26">
        <v>65.546522141100098</v>
      </c>
      <c r="H26">
        <v>0.91899744020769603</v>
      </c>
      <c r="I26">
        <v>0.57691786291377101</v>
      </c>
      <c r="J26">
        <v>0.60567684841745795</v>
      </c>
      <c r="K26">
        <v>9.6506226884444608</v>
      </c>
      <c r="L26">
        <v>0.81978022629366898</v>
      </c>
      <c r="M26">
        <v>1.0003415566760201</v>
      </c>
      <c r="N26">
        <v>0.360221118322681</v>
      </c>
      <c r="O26">
        <v>987</v>
      </c>
      <c r="P26">
        <v>13</v>
      </c>
      <c r="Q26">
        <v>1.2999999999999999E-2</v>
      </c>
    </row>
    <row r="27" spans="1:17" x14ac:dyDescent="0.25">
      <c r="A27">
        <v>5.0544702849929299</v>
      </c>
      <c r="B27">
        <v>0.70367564768981405</v>
      </c>
      <c r="C27">
        <v>6.6397151016637697</v>
      </c>
      <c r="D27">
        <v>0.76234058307788999</v>
      </c>
      <c r="E27">
        <v>4.5069913613375698</v>
      </c>
      <c r="F27">
        <v>0.22973867420760599</v>
      </c>
      <c r="G27">
        <v>84.414381196491405</v>
      </c>
      <c r="H27">
        <v>0.97329550656085095</v>
      </c>
      <c r="I27">
        <v>0.63281914971949305</v>
      </c>
      <c r="J27">
        <v>0.65704343622531303</v>
      </c>
      <c r="K27">
        <v>10.164311670954399</v>
      </c>
      <c r="L27">
        <v>0.84669164668048902</v>
      </c>
      <c r="M27">
        <v>1.05520973210365</v>
      </c>
      <c r="N27">
        <v>0.35971301840075698</v>
      </c>
      <c r="O27">
        <v>983</v>
      </c>
      <c r="P27">
        <v>17</v>
      </c>
      <c r="Q27">
        <v>1.7000000000000001E-2</v>
      </c>
    </row>
    <row r="28" spans="1:17" x14ac:dyDescent="0.25">
      <c r="A28">
        <v>5.5599173134923303</v>
      </c>
      <c r="B28">
        <v>0.74506833284806095</v>
      </c>
      <c r="C28">
        <v>6.7948267070286299</v>
      </c>
      <c r="D28">
        <v>0.77811844057678303</v>
      </c>
      <c r="E28">
        <v>4.4499797562784202</v>
      </c>
      <c r="F28">
        <v>0.21728997844999901</v>
      </c>
      <c r="G28">
        <v>108.177241141197</v>
      </c>
      <c r="H28">
        <v>1.0512362409118401</v>
      </c>
      <c r="I28">
        <v>0.71255815438458403</v>
      </c>
      <c r="J28">
        <v>0.71315665026143404</v>
      </c>
      <c r="K28">
        <v>11.166655536502599</v>
      </c>
      <c r="L28">
        <v>0.88906611027218396</v>
      </c>
      <c r="M28">
        <v>1.1964065256324901</v>
      </c>
      <c r="N28">
        <v>0.366431338443031</v>
      </c>
      <c r="O28">
        <v>981</v>
      </c>
      <c r="P28">
        <v>19</v>
      </c>
      <c r="Q28">
        <v>1.9E-2</v>
      </c>
    </row>
    <row r="29" spans="1:17" x14ac:dyDescent="0.25">
      <c r="A29">
        <v>6.1159090448415299</v>
      </c>
      <c r="B29">
        <v>0.78646101800628498</v>
      </c>
      <c r="C29">
        <v>7.0579765755016304</v>
      </c>
      <c r="D29">
        <v>0.78849770046687395</v>
      </c>
      <c r="E29">
        <v>4.9916414788832197</v>
      </c>
      <c r="F29">
        <v>0.228528382015558</v>
      </c>
      <c r="G29">
        <v>127.645949600631</v>
      </c>
      <c r="H29">
        <v>1.1175111936695901</v>
      </c>
      <c r="I29">
        <v>0.78054342385332598</v>
      </c>
      <c r="J29">
        <v>0.75178645753196105</v>
      </c>
      <c r="K29">
        <v>12.182267895483299</v>
      </c>
      <c r="L29">
        <v>0.92720492052585202</v>
      </c>
      <c r="M29">
        <v>1.3579198544939</v>
      </c>
      <c r="N29">
        <v>0.37190148073293</v>
      </c>
      <c r="O29">
        <v>980</v>
      </c>
      <c r="P29">
        <v>20</v>
      </c>
      <c r="Q29">
        <v>0.02</v>
      </c>
    </row>
    <row r="30" spans="1:17" x14ac:dyDescent="0.25">
      <c r="A30">
        <v>6.7274999493256402</v>
      </c>
      <c r="B30">
        <v>0.82785370316449303</v>
      </c>
      <c r="C30">
        <v>7.2454686307615797</v>
      </c>
      <c r="D30">
        <v>0.79675922116860898</v>
      </c>
      <c r="E30">
        <v>5.2581402393145096</v>
      </c>
      <c r="F30">
        <v>0.23644754714145799</v>
      </c>
      <c r="G30">
        <v>129.79936389152701</v>
      </c>
      <c r="H30">
        <v>1.1487923470589101</v>
      </c>
      <c r="I30">
        <v>0.80696523055779001</v>
      </c>
      <c r="J30">
        <v>0.74655213425988898</v>
      </c>
      <c r="K30">
        <v>12.790476598832701</v>
      </c>
      <c r="L30">
        <v>0.95488232493324599</v>
      </c>
      <c r="M30">
        <v>1.4384144413993201</v>
      </c>
      <c r="N30">
        <v>0.36773916920891397</v>
      </c>
      <c r="O30">
        <v>963</v>
      </c>
      <c r="P30">
        <v>37</v>
      </c>
      <c r="Q30">
        <v>3.6999999999999998E-2</v>
      </c>
    </row>
    <row r="31" spans="1:17" x14ac:dyDescent="0.25">
      <c r="A31">
        <v>7.4002499442583201</v>
      </c>
      <c r="B31">
        <v>0.86924638832272205</v>
      </c>
      <c r="C31">
        <v>7.9357313986621998</v>
      </c>
      <c r="D31">
        <v>0.83935478545596498</v>
      </c>
      <c r="E31">
        <v>5.9742597094965797</v>
      </c>
      <c r="F31">
        <v>0.23566453304327101</v>
      </c>
      <c r="G31">
        <v>157.875939470714</v>
      </c>
      <c r="H31">
        <v>1.22066626116315</v>
      </c>
      <c r="I31">
        <v>0.88609939695806705</v>
      </c>
      <c r="J31">
        <v>0.79619200812171098</v>
      </c>
      <c r="K31">
        <v>13.6805309753142</v>
      </c>
      <c r="L31">
        <v>0.98569351792365301</v>
      </c>
      <c r="M31">
        <v>1.58190160327717</v>
      </c>
      <c r="N31">
        <v>0.37174327573608101</v>
      </c>
      <c r="O31">
        <v>959</v>
      </c>
      <c r="P31">
        <v>41</v>
      </c>
      <c r="Q31">
        <v>4.1000000000000002E-2</v>
      </c>
    </row>
    <row r="32" spans="1:17" x14ac:dyDescent="0.25">
      <c r="A32">
        <v>8.1402749386841098</v>
      </c>
      <c r="B32">
        <v>0.91063907348097095</v>
      </c>
      <c r="C32">
        <v>8.2944611946314399</v>
      </c>
      <c r="D32">
        <v>0.86490855635164399</v>
      </c>
      <c r="E32">
        <v>6.3933613843775596</v>
      </c>
      <c r="F32">
        <v>0.22565469661616899</v>
      </c>
      <c r="G32">
        <v>168.14273370709401</v>
      </c>
      <c r="H32">
        <v>1.24577924965557</v>
      </c>
      <c r="I32">
        <v>0.91442193209292499</v>
      </c>
      <c r="J32">
        <v>0.81338794671381498</v>
      </c>
      <c r="K32">
        <v>14.0144318722874</v>
      </c>
      <c r="L32">
        <v>0.99625506625955296</v>
      </c>
      <c r="M32">
        <v>1.6323603383760401</v>
      </c>
      <c r="N32">
        <v>0.37443030434039798</v>
      </c>
      <c r="O32">
        <v>958</v>
      </c>
      <c r="P32">
        <v>42</v>
      </c>
      <c r="Q32">
        <v>4.2000000000000003E-2</v>
      </c>
    </row>
    <row r="33" spans="1:17" x14ac:dyDescent="0.25">
      <c r="A33">
        <v>8.9543024325523</v>
      </c>
      <c r="B33">
        <v>0.95203175863915501</v>
      </c>
      <c r="C33">
        <v>8.3768630475505805</v>
      </c>
      <c r="D33">
        <v>0.87777829909632699</v>
      </c>
      <c r="E33">
        <v>6.6233627962271404</v>
      </c>
      <c r="F33">
        <v>0.20643428972867001</v>
      </c>
      <c r="G33">
        <v>163.00107314684399</v>
      </c>
      <c r="H33">
        <v>1.2736345166026199</v>
      </c>
      <c r="I33">
        <v>0.93360560174639096</v>
      </c>
      <c r="J33">
        <v>0.78832844789957102</v>
      </c>
      <c r="K33">
        <v>14.791283104808199</v>
      </c>
      <c r="L33">
        <v>1.0301687298767901</v>
      </c>
      <c r="M33">
        <v>1.72443191284266</v>
      </c>
      <c r="N33">
        <v>0.36664121945082101</v>
      </c>
      <c r="O33">
        <v>953</v>
      </c>
      <c r="P33">
        <v>47</v>
      </c>
      <c r="Q33">
        <v>4.7E-2</v>
      </c>
    </row>
    <row r="34" spans="1:17" x14ac:dyDescent="0.25">
      <c r="A34">
        <v>9.8497326758077399</v>
      </c>
      <c r="B34">
        <v>0.99342444379738704</v>
      </c>
      <c r="C34">
        <v>8.2096201565532994</v>
      </c>
      <c r="D34">
        <v>0.87339107762479395</v>
      </c>
      <c r="E34">
        <v>6.39903975577114</v>
      </c>
      <c r="F34">
        <v>0.19195455335411801</v>
      </c>
      <c r="G34">
        <v>200.89786908304299</v>
      </c>
      <c r="H34">
        <v>1.3526103838851999</v>
      </c>
      <c r="I34">
        <v>1.02369609878344</v>
      </c>
      <c r="J34">
        <v>0.84009618303540801</v>
      </c>
      <c r="K34">
        <v>15.3651227100924</v>
      </c>
      <c r="L34">
        <v>1.0543079777541899</v>
      </c>
      <c r="M34">
        <v>1.8139505031032901</v>
      </c>
      <c r="N34">
        <v>0.35761119727291402</v>
      </c>
      <c r="O34">
        <v>949</v>
      </c>
      <c r="P34">
        <v>51</v>
      </c>
      <c r="Q34">
        <v>5.0999999999999997E-2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4.1392685158224501E-2</v>
      </c>
      <c r="B37" s="1">
        <f>$D11</f>
        <v>5.3137066190106802E-2</v>
      </c>
      <c r="C37" s="1">
        <f t="shared" ref="C37:C60" si="0">B37-$E11</f>
        <v>5.3133850426135172E-2</v>
      </c>
      <c r="D37" s="1">
        <f t="shared" ref="D37:D60" si="1">B37+$E11</f>
        <v>5.3140281954078432E-2</v>
      </c>
      <c r="E37" s="1">
        <f>$B37-$F11</f>
        <v>4.4511155223617885E-2</v>
      </c>
      <c r="F37" s="1">
        <f>$B37+$F11</f>
        <v>6.1762977156595719E-2</v>
      </c>
      <c r="G37" s="1">
        <f>$H11</f>
        <v>5.3160712074980097E-2</v>
      </c>
      <c r="H37" s="1">
        <f>$G37-$I11</f>
        <v>4.606065989001381E-2</v>
      </c>
      <c r="I37" s="1">
        <f>$G37+$I11</f>
        <v>6.0260764259946385E-2</v>
      </c>
      <c r="J37" s="1">
        <f>$G37-$J11</f>
        <v>4.4512503723601576E-2</v>
      </c>
      <c r="K37" s="1">
        <f>$G37+$J11</f>
        <v>6.1808920426358618E-2</v>
      </c>
      <c r="L37" s="1">
        <f>$L11</f>
        <v>5.7080512833191703E-2</v>
      </c>
      <c r="M37" s="1">
        <f>$L37-$M11</f>
        <v>4.8904769710870995E-2</v>
      </c>
      <c r="N37" s="1">
        <f>$L37+$M11</f>
        <v>6.5256255955512418E-2</v>
      </c>
      <c r="O37" s="1">
        <f>$L37-$N11</f>
        <v>3.6989295059284208E-2</v>
      </c>
      <c r="P37" s="1">
        <f>$L37+$N11</f>
        <v>7.7171730607099198E-2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0.10042599614315199</v>
      </c>
      <c r="C38" s="1">
        <f t="shared" si="0"/>
        <v>0.10040901334092926</v>
      </c>
      <c r="D38" s="1">
        <f t="shared" si="1"/>
        <v>0.10044297894537473</v>
      </c>
      <c r="E38" s="1">
        <f t="shared" ref="E38:E60" si="4">$B38-$F12</f>
        <v>7.9065562673793388E-2</v>
      </c>
      <c r="F38" s="1">
        <f t="shared" ref="F38:F60" si="5">$B38+$F12</f>
        <v>0.1217864296125106</v>
      </c>
      <c r="G38" s="1">
        <f t="shared" ref="G38:G60" si="6">$H12</f>
        <v>0.10009632523926699</v>
      </c>
      <c r="H38" s="1">
        <f t="shared" ref="H38:H60" si="7">$G38-$I12</f>
        <v>8.1648000341230792E-2</v>
      </c>
      <c r="I38" s="1">
        <f t="shared" ref="I38:I60" si="8">$G38+$I12</f>
        <v>0.1185446501373032</v>
      </c>
      <c r="J38" s="1">
        <f t="shared" ref="J38:J60" si="9">$G38-$J12</f>
        <v>7.9497633651646096E-2</v>
      </c>
      <c r="K38" s="1">
        <f t="shared" ref="K38:K60" si="10">$G38+$J12</f>
        <v>0.12069501682688789</v>
      </c>
      <c r="L38" s="1">
        <f t="shared" ref="L38:L60" si="11">$L12</f>
        <v>0.102653859192396</v>
      </c>
      <c r="M38" s="1">
        <f t="shared" ref="M38:M60" si="12">$L38-$M12</f>
        <v>8.3425265509727509E-2</v>
      </c>
      <c r="N38" s="1">
        <f t="shared" ref="N38:N60" si="13">$L38+$M12</f>
        <v>0.1218824528750645</v>
      </c>
      <c r="O38" s="1">
        <f t="shared" ref="O38:O60" si="14">$L38-$N12</f>
        <v>7.8806070385738003E-2</v>
      </c>
      <c r="P38" s="1">
        <f t="shared" ref="P38:P60" si="15">$L38+$N12</f>
        <v>0.126501647999054</v>
      </c>
    </row>
    <row r="39" spans="1:17" x14ac:dyDescent="0.25">
      <c r="A39" s="1">
        <f t="shared" si="2"/>
        <v>0.124178055474673</v>
      </c>
      <c r="B39" s="1">
        <f t="shared" si="3"/>
        <v>0.15096598900102901</v>
      </c>
      <c r="C39" s="1">
        <f t="shared" si="0"/>
        <v>0.15080522654661979</v>
      </c>
      <c r="D39" s="1">
        <f t="shared" si="1"/>
        <v>0.15112675145543822</v>
      </c>
      <c r="E39" s="1">
        <f t="shared" si="4"/>
        <v>0.1081665202357934</v>
      </c>
      <c r="F39" s="1">
        <f t="shared" si="5"/>
        <v>0.19376545776626461</v>
      </c>
      <c r="G39" s="1">
        <f t="shared" si="6"/>
        <v>0.14922282471061299</v>
      </c>
      <c r="H39" s="1">
        <f t="shared" si="7"/>
        <v>0.1153682127212117</v>
      </c>
      <c r="I39" s="1">
        <f t="shared" si="8"/>
        <v>0.18307743670001428</v>
      </c>
      <c r="J39" s="1">
        <f t="shared" si="9"/>
        <v>0.1110291153823208</v>
      </c>
      <c r="K39" s="1">
        <f t="shared" si="10"/>
        <v>0.18741653403890518</v>
      </c>
      <c r="L39" s="1">
        <f t="shared" si="11"/>
        <v>0.153277113140906</v>
      </c>
      <c r="M39" s="1">
        <f t="shared" si="12"/>
        <v>0.1180520673658404</v>
      </c>
      <c r="N39" s="1">
        <f t="shared" si="13"/>
        <v>0.18850215891597161</v>
      </c>
      <c r="O39" s="1">
        <f t="shared" si="14"/>
        <v>0.11375408411813731</v>
      </c>
      <c r="P39" s="1">
        <f t="shared" si="15"/>
        <v>0.19280014216367469</v>
      </c>
    </row>
    <row r="40" spans="1:17" x14ac:dyDescent="0.25">
      <c r="A40" s="1">
        <f t="shared" si="2"/>
        <v>0.16557074063289801</v>
      </c>
      <c r="B40" s="1">
        <f t="shared" si="3"/>
        <v>0.20180294689189299</v>
      </c>
      <c r="C40" s="1">
        <f t="shared" si="0"/>
        <v>0.19750546383164208</v>
      </c>
      <c r="D40" s="1">
        <f t="shared" si="1"/>
        <v>0.20610042995214389</v>
      </c>
      <c r="E40" s="1">
        <f t="shared" si="4"/>
        <v>0.13087264805330728</v>
      </c>
      <c r="F40" s="1">
        <f t="shared" si="5"/>
        <v>0.27273324573047869</v>
      </c>
      <c r="G40" s="1">
        <f t="shared" si="6"/>
        <v>0.19578481764345501</v>
      </c>
      <c r="H40" s="1">
        <f t="shared" si="7"/>
        <v>0.14442419727737871</v>
      </c>
      <c r="I40" s="1">
        <f t="shared" si="8"/>
        <v>0.24714543800953132</v>
      </c>
      <c r="J40" s="1">
        <f t="shared" si="9"/>
        <v>0.1356327496473298</v>
      </c>
      <c r="K40" s="1">
        <f t="shared" si="10"/>
        <v>0.25593688563958022</v>
      </c>
      <c r="L40" s="1">
        <f t="shared" si="11"/>
        <v>0.19702918135314901</v>
      </c>
      <c r="M40" s="1">
        <f t="shared" si="12"/>
        <v>0.14533802167878912</v>
      </c>
      <c r="N40" s="1">
        <f t="shared" si="13"/>
        <v>0.2487203410275089</v>
      </c>
      <c r="O40" s="1">
        <f t="shared" si="14"/>
        <v>0.1384559371549178</v>
      </c>
      <c r="P40" s="1">
        <f t="shared" si="15"/>
        <v>0.25560242555138019</v>
      </c>
    </row>
    <row r="41" spans="1:17" x14ac:dyDescent="0.25">
      <c r="A41" s="1">
        <f t="shared" si="2"/>
        <v>0.20696342579112301</v>
      </c>
      <c r="B41" s="1">
        <f t="shared" si="3"/>
        <v>0.26045372671146699</v>
      </c>
      <c r="C41" s="1">
        <f t="shared" si="0"/>
        <v>0.21397731999954539</v>
      </c>
      <c r="D41" s="1">
        <f t="shared" si="1"/>
        <v>0.3069301334233886</v>
      </c>
      <c r="E41" s="1">
        <f t="shared" si="4"/>
        <v>0.158624099797854</v>
      </c>
      <c r="F41" s="1">
        <f t="shared" si="5"/>
        <v>0.36228335362508002</v>
      </c>
      <c r="G41" s="1">
        <f t="shared" si="6"/>
        <v>0.247581152564116</v>
      </c>
      <c r="H41" s="1">
        <f t="shared" si="7"/>
        <v>0.17388357061093221</v>
      </c>
      <c r="I41" s="1">
        <f t="shared" si="8"/>
        <v>0.32127873451729982</v>
      </c>
      <c r="J41" s="1">
        <f t="shared" si="9"/>
        <v>0.15855764856325849</v>
      </c>
      <c r="K41" s="1">
        <f t="shared" si="10"/>
        <v>0.33660465656497351</v>
      </c>
      <c r="L41" s="1">
        <f t="shared" si="11"/>
        <v>0.24823208284117901</v>
      </c>
      <c r="M41" s="1">
        <f t="shared" si="12"/>
        <v>0.17163612024731473</v>
      </c>
      <c r="N41" s="1">
        <f t="shared" si="13"/>
        <v>0.32482804543504329</v>
      </c>
      <c r="O41" s="1">
        <f t="shared" si="14"/>
        <v>0.1627638093170683</v>
      </c>
      <c r="P41" s="1">
        <f t="shared" si="15"/>
        <v>0.33370035636528972</v>
      </c>
    </row>
    <row r="42" spans="1:17" x14ac:dyDescent="0.25">
      <c r="A42" s="1">
        <f t="shared" si="2"/>
        <v>0.24835611094934601</v>
      </c>
      <c r="B42" s="1">
        <f t="shared" si="3"/>
        <v>0.328706647984773</v>
      </c>
      <c r="C42" s="1">
        <f t="shared" si="0"/>
        <v>0.16501978799463202</v>
      </c>
      <c r="D42" s="1">
        <f t="shared" si="1"/>
        <v>0.49239350797491399</v>
      </c>
      <c r="E42" s="1">
        <f t="shared" si="4"/>
        <v>0.17727446322962001</v>
      </c>
      <c r="F42" s="1">
        <f t="shared" si="5"/>
        <v>0.48013883273992597</v>
      </c>
      <c r="G42" s="1">
        <f t="shared" si="6"/>
        <v>0.29999544026466102</v>
      </c>
      <c r="H42" s="1">
        <f t="shared" si="7"/>
        <v>0.20069745457447072</v>
      </c>
      <c r="I42" s="1">
        <f t="shared" si="8"/>
        <v>0.39929342595485129</v>
      </c>
      <c r="J42" s="1">
        <f t="shared" si="9"/>
        <v>0.17971412047827201</v>
      </c>
      <c r="K42" s="1">
        <f t="shared" si="10"/>
        <v>0.42027676005105002</v>
      </c>
      <c r="L42" s="1">
        <f t="shared" si="11"/>
        <v>0.298151811089306</v>
      </c>
      <c r="M42" s="1">
        <f t="shared" si="12"/>
        <v>0.19441886703061401</v>
      </c>
      <c r="N42" s="1">
        <f t="shared" si="13"/>
        <v>0.40188475514799799</v>
      </c>
      <c r="O42" s="1">
        <f t="shared" si="14"/>
        <v>0.18195646203628602</v>
      </c>
      <c r="P42" s="1">
        <f t="shared" si="15"/>
        <v>0.41434716014232598</v>
      </c>
    </row>
    <row r="43" spans="1:17" x14ac:dyDescent="0.25">
      <c r="A43" s="1">
        <f t="shared" si="2"/>
        <v>0.28974879610757398</v>
      </c>
      <c r="B43" s="1">
        <f t="shared" si="3"/>
        <v>0.38337211978582902</v>
      </c>
      <c r="C43" s="1">
        <f t="shared" si="0"/>
        <v>-7.1255811240492961E-2</v>
      </c>
      <c r="D43" s="1">
        <f t="shared" si="1"/>
        <v>0.83800005081215101</v>
      </c>
      <c r="E43" s="1">
        <f t="shared" si="4"/>
        <v>0.20623842509619103</v>
      </c>
      <c r="F43" s="1">
        <f t="shared" si="5"/>
        <v>0.56050581447546699</v>
      </c>
      <c r="G43" s="1">
        <f t="shared" si="6"/>
        <v>0.35887565276021</v>
      </c>
      <c r="H43" s="1">
        <f t="shared" si="7"/>
        <v>0.224303232241651</v>
      </c>
      <c r="I43" s="1">
        <f t="shared" si="8"/>
        <v>0.49344807327876899</v>
      </c>
      <c r="J43" s="1">
        <f t="shared" si="9"/>
        <v>0.15884866463563699</v>
      </c>
      <c r="K43" s="1">
        <f t="shared" si="10"/>
        <v>0.55890264088478303</v>
      </c>
      <c r="L43" s="1">
        <f t="shared" si="11"/>
        <v>0.35125922593653403</v>
      </c>
      <c r="M43" s="1">
        <f t="shared" si="12"/>
        <v>0.20760043884496501</v>
      </c>
      <c r="N43" s="1">
        <f t="shared" si="13"/>
        <v>0.49491801302810301</v>
      </c>
      <c r="O43" s="1">
        <f t="shared" si="14"/>
        <v>0.18843052957598702</v>
      </c>
      <c r="P43" s="1">
        <f t="shared" si="15"/>
        <v>0.514087922297081</v>
      </c>
    </row>
    <row r="44" spans="1:17" x14ac:dyDescent="0.25">
      <c r="A44" s="1">
        <f t="shared" si="2"/>
        <v>0.33114148126579601</v>
      </c>
      <c r="B44" s="1">
        <f t="shared" si="3"/>
        <v>0.45388005654751001</v>
      </c>
      <c r="C44" s="1">
        <f t="shared" si="0"/>
        <v>-0.27268618515432502</v>
      </c>
      <c r="D44" s="1">
        <f t="shared" si="1"/>
        <v>1.1804462982493451</v>
      </c>
      <c r="E44" s="1">
        <f t="shared" si="4"/>
        <v>0.24892409967342002</v>
      </c>
      <c r="F44" s="1">
        <f t="shared" si="5"/>
        <v>0.65883601342160003</v>
      </c>
      <c r="G44" s="1">
        <f t="shared" si="6"/>
        <v>0.41391366114989497</v>
      </c>
      <c r="H44" s="1">
        <f t="shared" si="7"/>
        <v>0.24779447014175196</v>
      </c>
      <c r="I44" s="1">
        <f t="shared" si="8"/>
        <v>0.58003285215803801</v>
      </c>
      <c r="J44" s="1">
        <f t="shared" si="9"/>
        <v>0.19317793960153298</v>
      </c>
      <c r="K44" s="1">
        <f t="shared" si="10"/>
        <v>0.63464938269825699</v>
      </c>
      <c r="L44" s="1">
        <f t="shared" si="11"/>
        <v>0.40449081883923599</v>
      </c>
      <c r="M44" s="1">
        <f t="shared" si="12"/>
        <v>0.21920912072943699</v>
      </c>
      <c r="N44" s="1">
        <f t="shared" si="13"/>
        <v>0.58977251694903499</v>
      </c>
      <c r="O44" s="1">
        <f t="shared" si="14"/>
        <v>0.21706674119341499</v>
      </c>
      <c r="P44" s="1">
        <f t="shared" si="15"/>
        <v>0.59191489648505702</v>
      </c>
    </row>
    <row r="45" spans="1:17" x14ac:dyDescent="0.25">
      <c r="A45" s="1">
        <f t="shared" si="2"/>
        <v>0.37253416642402998</v>
      </c>
      <c r="B45" s="1">
        <f t="shared" si="3"/>
        <v>0.49777655928582798</v>
      </c>
      <c r="C45" s="1">
        <f t="shared" si="0"/>
        <v>-0.42341294822777198</v>
      </c>
      <c r="D45" s="1">
        <f t="shared" si="1"/>
        <v>1.4189660667994279</v>
      </c>
      <c r="E45" s="1">
        <f t="shared" si="4"/>
        <v>0.28978242207570198</v>
      </c>
      <c r="F45" s="1">
        <f t="shared" si="5"/>
        <v>0.70577069649595403</v>
      </c>
      <c r="G45" s="1">
        <f t="shared" si="6"/>
        <v>0.46773027148644902</v>
      </c>
      <c r="H45" s="1">
        <f t="shared" si="7"/>
        <v>0.26941642333570004</v>
      </c>
      <c r="I45" s="1">
        <f t="shared" si="8"/>
        <v>0.66604411963719801</v>
      </c>
      <c r="J45" s="1">
        <f t="shared" si="9"/>
        <v>0.23548262417008003</v>
      </c>
      <c r="K45" s="1">
        <f t="shared" si="10"/>
        <v>0.69997791880281801</v>
      </c>
      <c r="L45" s="1">
        <f t="shared" si="11"/>
        <v>0.458515414462695</v>
      </c>
      <c r="M45" s="1">
        <f t="shared" si="12"/>
        <v>0.227157352735739</v>
      </c>
      <c r="N45" s="1">
        <f t="shared" si="13"/>
        <v>0.689873476189651</v>
      </c>
      <c r="O45" s="1">
        <f t="shared" si="14"/>
        <v>0.244278683092546</v>
      </c>
      <c r="P45" s="1">
        <f t="shared" si="15"/>
        <v>0.67275214583284404</v>
      </c>
    </row>
    <row r="46" spans="1:17" x14ac:dyDescent="0.25">
      <c r="A46" s="1">
        <f t="shared" si="2"/>
        <v>0.41392685158224601</v>
      </c>
      <c r="B46" s="1">
        <f t="shared" si="3"/>
        <v>0.54472886615065097</v>
      </c>
      <c r="C46" s="1">
        <f t="shared" si="0"/>
        <v>-0.82755330039720898</v>
      </c>
      <c r="D46" s="1">
        <f t="shared" si="1"/>
        <v>1.917011032698511</v>
      </c>
      <c r="E46" s="1">
        <f t="shared" si="4"/>
        <v>0.32722097401620998</v>
      </c>
      <c r="F46" s="1">
        <f t="shared" si="5"/>
        <v>0.76223675828509196</v>
      </c>
      <c r="G46" s="1">
        <f t="shared" si="6"/>
        <v>0.52736747391069405</v>
      </c>
      <c r="H46" s="1">
        <f t="shared" si="7"/>
        <v>0.28563898235684604</v>
      </c>
      <c r="I46" s="1">
        <f t="shared" si="8"/>
        <v>0.76909596546454206</v>
      </c>
      <c r="J46" s="1">
        <f t="shared" si="9"/>
        <v>0.23066731544572505</v>
      </c>
      <c r="K46" s="1">
        <f t="shared" si="10"/>
        <v>0.82406763237566305</v>
      </c>
      <c r="L46" s="1">
        <f t="shared" si="11"/>
        <v>0.51188559394150301</v>
      </c>
      <c r="M46" s="1">
        <f t="shared" si="12"/>
        <v>0.20552628218310803</v>
      </c>
      <c r="N46" s="1">
        <f t="shared" si="13"/>
        <v>0.81824490569989794</v>
      </c>
      <c r="O46" s="1">
        <f t="shared" si="14"/>
        <v>0.26189855876764001</v>
      </c>
      <c r="P46" s="1">
        <f t="shared" si="15"/>
        <v>0.76187262911536602</v>
      </c>
    </row>
    <row r="47" spans="1:17" x14ac:dyDescent="0.25">
      <c r="A47" s="1">
        <f t="shared" si="2"/>
        <v>0.45531953674048498</v>
      </c>
      <c r="B47" s="1">
        <f t="shared" si="3"/>
        <v>0.59254442455073197</v>
      </c>
      <c r="C47" s="1">
        <f t="shared" si="0"/>
        <v>-1.1653411562782878</v>
      </c>
      <c r="D47" s="1">
        <f t="shared" si="1"/>
        <v>2.350430005379752</v>
      </c>
      <c r="E47" s="1">
        <f t="shared" si="4"/>
        <v>0.37216304338712497</v>
      </c>
      <c r="F47" s="1">
        <f t="shared" si="5"/>
        <v>0.81292580571433892</v>
      </c>
      <c r="G47" s="1">
        <f t="shared" si="6"/>
        <v>0.58265062014126601</v>
      </c>
      <c r="H47" s="1">
        <f t="shared" si="7"/>
        <v>0.30241743842417901</v>
      </c>
      <c r="I47" s="1">
        <f t="shared" si="8"/>
        <v>0.86288380185835301</v>
      </c>
      <c r="J47" s="1">
        <f t="shared" si="9"/>
        <v>0.25990814257489003</v>
      </c>
      <c r="K47" s="1">
        <f t="shared" si="10"/>
        <v>0.90539309770764198</v>
      </c>
      <c r="L47" s="1">
        <f t="shared" si="11"/>
        <v>0.56462919758288399</v>
      </c>
      <c r="M47" s="1">
        <f t="shared" si="12"/>
        <v>0.185143337295058</v>
      </c>
      <c r="N47" s="1">
        <f t="shared" si="13"/>
        <v>0.94411505787071004</v>
      </c>
      <c r="O47" s="1">
        <f t="shared" si="14"/>
        <v>0.29482757315097297</v>
      </c>
      <c r="P47" s="1">
        <f t="shared" si="15"/>
        <v>0.83443082201479502</v>
      </c>
    </row>
    <row r="48" spans="1:17" x14ac:dyDescent="0.25">
      <c r="A48" s="1">
        <f t="shared" si="2"/>
        <v>0.49671222189869302</v>
      </c>
      <c r="B48" s="1">
        <f t="shared" si="3"/>
        <v>0.64033006905948797</v>
      </c>
      <c r="C48" s="1">
        <f t="shared" si="0"/>
        <v>-1.9262580444325121</v>
      </c>
      <c r="D48" s="1">
        <f t="shared" si="1"/>
        <v>3.2069181825514881</v>
      </c>
      <c r="E48" s="1">
        <f t="shared" si="4"/>
        <v>0.40820631834683296</v>
      </c>
      <c r="F48" s="1">
        <f t="shared" si="5"/>
        <v>0.87245381977214298</v>
      </c>
      <c r="G48" s="1">
        <f t="shared" si="6"/>
        <v>0.679870531859875</v>
      </c>
      <c r="H48" s="1">
        <f t="shared" si="7"/>
        <v>0.31448073866055698</v>
      </c>
      <c r="I48" s="1">
        <f t="shared" si="8"/>
        <v>1.045260325059193</v>
      </c>
      <c r="J48" s="1">
        <f t="shared" si="9"/>
        <v>0.23091681172385403</v>
      </c>
      <c r="K48" s="1">
        <f t="shared" si="10"/>
        <v>1.128824251995896</v>
      </c>
      <c r="L48" s="1">
        <f t="shared" si="11"/>
        <v>0.63784134189600294</v>
      </c>
      <c r="M48" s="1">
        <f t="shared" si="12"/>
        <v>9.8624446945558941E-2</v>
      </c>
      <c r="N48" s="1">
        <f t="shared" si="13"/>
        <v>1.1770582368464471</v>
      </c>
      <c r="O48" s="1">
        <f t="shared" si="14"/>
        <v>0.32357033828283294</v>
      </c>
      <c r="P48" s="1">
        <f t="shared" si="15"/>
        <v>0.9521123455091729</v>
      </c>
    </row>
    <row r="49" spans="1:16" x14ac:dyDescent="0.25">
      <c r="A49" s="1">
        <f t="shared" si="2"/>
        <v>0.53810490705693204</v>
      </c>
      <c r="B49" s="1">
        <f t="shared" si="3"/>
        <v>0.64993641989528905</v>
      </c>
      <c r="C49" s="1">
        <f t="shared" si="0"/>
        <v>-2.0061391179416508</v>
      </c>
      <c r="D49" s="1">
        <f t="shared" si="1"/>
        <v>3.3060119577322289</v>
      </c>
      <c r="E49" s="1">
        <f t="shared" si="4"/>
        <v>0.41904390896630006</v>
      </c>
      <c r="F49" s="1">
        <f t="shared" si="5"/>
        <v>0.88082893082427804</v>
      </c>
      <c r="G49" s="1">
        <f t="shared" si="6"/>
        <v>0.69143844388815501</v>
      </c>
      <c r="H49" s="1">
        <f t="shared" si="7"/>
        <v>0.319377882522208</v>
      </c>
      <c r="I49" s="1">
        <f t="shared" si="8"/>
        <v>1.063499005254102</v>
      </c>
      <c r="J49" s="1">
        <f t="shared" si="9"/>
        <v>0.25034192954832402</v>
      </c>
      <c r="K49" s="1">
        <f t="shared" si="10"/>
        <v>1.132534958227986</v>
      </c>
      <c r="L49" s="1">
        <f t="shared" si="11"/>
        <v>0.65003980678939199</v>
      </c>
      <c r="M49" s="1">
        <f t="shared" si="12"/>
        <v>0.10125018777417605</v>
      </c>
      <c r="N49" s="1">
        <f t="shared" si="13"/>
        <v>1.1988294258046079</v>
      </c>
      <c r="O49" s="1">
        <f t="shared" si="14"/>
        <v>0.338444757500178</v>
      </c>
      <c r="P49" s="1">
        <f t="shared" si="15"/>
        <v>0.96163485607860599</v>
      </c>
    </row>
    <row r="50" spans="1:16" x14ac:dyDescent="0.25">
      <c r="A50" s="1">
        <f t="shared" si="2"/>
        <v>0.57949759221514796</v>
      </c>
      <c r="B50" s="1">
        <f t="shared" si="3"/>
        <v>0.68758327342437497</v>
      </c>
      <c r="C50" s="1">
        <f t="shared" si="0"/>
        <v>-2.2620124720780455</v>
      </c>
      <c r="D50" s="1">
        <f t="shared" si="1"/>
        <v>3.637179018926795</v>
      </c>
      <c r="E50" s="1">
        <f t="shared" si="4"/>
        <v>0.45779368092601297</v>
      </c>
      <c r="F50" s="1">
        <f t="shared" si="5"/>
        <v>0.91737286592273692</v>
      </c>
      <c r="G50" s="1">
        <f t="shared" si="6"/>
        <v>0.79413429465365803</v>
      </c>
      <c r="H50" s="1">
        <f t="shared" si="7"/>
        <v>0.32854408863736101</v>
      </c>
      <c r="I50" s="1">
        <f t="shared" si="8"/>
        <v>1.2597245006699551</v>
      </c>
      <c r="J50" s="1">
        <f t="shared" si="9"/>
        <v>0.25488464425619706</v>
      </c>
      <c r="K50" s="1">
        <f t="shared" si="10"/>
        <v>1.3333839450511191</v>
      </c>
      <c r="L50" s="1">
        <f t="shared" si="11"/>
        <v>0.72543480304996499</v>
      </c>
      <c r="M50" s="1">
        <f t="shared" si="12"/>
        <v>-2.6178709068648054E-2</v>
      </c>
      <c r="N50" s="1">
        <f t="shared" si="13"/>
        <v>1.477048315168578</v>
      </c>
      <c r="O50" s="1">
        <f t="shared" si="14"/>
        <v>0.37921903651168998</v>
      </c>
      <c r="P50" s="1">
        <f t="shared" si="15"/>
        <v>1.0716505695882401</v>
      </c>
    </row>
    <row r="51" spans="1:16" x14ac:dyDescent="0.25">
      <c r="A51" s="1">
        <f t="shared" si="2"/>
        <v>0.62089027737336899</v>
      </c>
      <c r="B51" s="1">
        <f t="shared" si="3"/>
        <v>0.72138893046356001</v>
      </c>
      <c r="C51" s="1">
        <f t="shared" si="0"/>
        <v>-2.9937330036317897</v>
      </c>
      <c r="D51" s="1">
        <f t="shared" si="1"/>
        <v>4.43651086455891</v>
      </c>
      <c r="E51" s="1">
        <f t="shared" si="4"/>
        <v>0.48792525513666302</v>
      </c>
      <c r="F51" s="1">
        <f t="shared" si="5"/>
        <v>0.95485260579045694</v>
      </c>
      <c r="G51" s="1">
        <f t="shared" si="6"/>
        <v>0.873748857516914</v>
      </c>
      <c r="H51" s="1">
        <f t="shared" si="7"/>
        <v>0.329300508571714</v>
      </c>
      <c r="I51" s="1">
        <f t="shared" si="8"/>
        <v>1.418197206462114</v>
      </c>
      <c r="J51" s="1">
        <f t="shared" si="9"/>
        <v>0.252449358802877</v>
      </c>
      <c r="K51" s="1">
        <f t="shared" si="10"/>
        <v>1.4950483562309511</v>
      </c>
      <c r="L51" s="1">
        <f t="shared" si="11"/>
        <v>0.77260497738033596</v>
      </c>
      <c r="M51" s="1">
        <f t="shared" si="12"/>
        <v>-0.12312141061216508</v>
      </c>
      <c r="N51" s="1">
        <f t="shared" si="13"/>
        <v>1.6683313653728371</v>
      </c>
      <c r="O51" s="1">
        <f t="shared" si="14"/>
        <v>0.41223157457485093</v>
      </c>
      <c r="P51" s="1">
        <f t="shared" si="15"/>
        <v>1.1329783801858211</v>
      </c>
    </row>
    <row r="52" spans="1:16" x14ac:dyDescent="0.25">
      <c r="A52" s="1">
        <f t="shared" si="2"/>
        <v>0.66228296253159302</v>
      </c>
      <c r="B52" s="1">
        <f t="shared" si="3"/>
        <v>0.74843770362008899</v>
      </c>
      <c r="C52" s="1">
        <f t="shared" si="0"/>
        <v>-3.2558753583369211</v>
      </c>
      <c r="D52" s="1">
        <f t="shared" si="1"/>
        <v>4.7527507655770993</v>
      </c>
      <c r="E52" s="1">
        <f t="shared" si="4"/>
        <v>0.51467160117825794</v>
      </c>
      <c r="F52" s="1">
        <f t="shared" si="5"/>
        <v>0.98220380606192004</v>
      </c>
      <c r="G52" s="1">
        <f t="shared" si="6"/>
        <v>0.91899744020769603</v>
      </c>
      <c r="H52" s="1">
        <f t="shared" si="7"/>
        <v>0.34207957729392502</v>
      </c>
      <c r="I52" s="1">
        <f t="shared" si="8"/>
        <v>1.4959153031214671</v>
      </c>
      <c r="J52" s="1">
        <f t="shared" si="9"/>
        <v>0.31332059179023808</v>
      </c>
      <c r="K52" s="1">
        <f t="shared" si="10"/>
        <v>1.5246742886251541</v>
      </c>
      <c r="L52" s="1">
        <f t="shared" si="11"/>
        <v>0.81978022629366898</v>
      </c>
      <c r="M52" s="1">
        <f t="shared" si="12"/>
        <v>-0.18056133038235112</v>
      </c>
      <c r="N52" s="1">
        <f t="shared" si="13"/>
        <v>1.820121782969689</v>
      </c>
      <c r="O52" s="1">
        <f t="shared" si="14"/>
        <v>0.45955910797098798</v>
      </c>
      <c r="P52" s="1">
        <f t="shared" si="15"/>
        <v>1.18000134461635</v>
      </c>
    </row>
    <row r="53" spans="1:16" x14ac:dyDescent="0.25">
      <c r="A53" s="1">
        <f t="shared" si="2"/>
        <v>0.70367564768981405</v>
      </c>
      <c r="B53" s="1">
        <f t="shared" si="3"/>
        <v>0.76234058307788999</v>
      </c>
      <c r="C53" s="1">
        <f t="shared" si="0"/>
        <v>-3.7446507782596798</v>
      </c>
      <c r="D53" s="1">
        <f t="shared" si="1"/>
        <v>5.2693319444154598</v>
      </c>
      <c r="E53" s="1">
        <f t="shared" si="4"/>
        <v>0.53260190887028402</v>
      </c>
      <c r="F53" s="1">
        <f t="shared" si="5"/>
        <v>0.99207925728549595</v>
      </c>
      <c r="G53" s="1">
        <f t="shared" si="6"/>
        <v>0.97329550656085095</v>
      </c>
      <c r="H53" s="1">
        <f t="shared" si="7"/>
        <v>0.34047635684135791</v>
      </c>
      <c r="I53" s="1">
        <f t="shared" si="8"/>
        <v>1.6061146562803441</v>
      </c>
      <c r="J53" s="1">
        <f t="shared" si="9"/>
        <v>0.31625207033553793</v>
      </c>
      <c r="K53" s="1">
        <f t="shared" si="10"/>
        <v>1.6303389427861639</v>
      </c>
      <c r="L53" s="1">
        <f t="shared" si="11"/>
        <v>0.84669164668048902</v>
      </c>
      <c r="M53" s="1">
        <f t="shared" si="12"/>
        <v>-0.20851808542316097</v>
      </c>
      <c r="N53" s="1">
        <f t="shared" si="13"/>
        <v>1.901901378784139</v>
      </c>
      <c r="O53" s="1">
        <f t="shared" si="14"/>
        <v>0.48697862827973204</v>
      </c>
      <c r="P53" s="1">
        <f t="shared" si="15"/>
        <v>1.2064046650812461</v>
      </c>
    </row>
    <row r="54" spans="1:16" x14ac:dyDescent="0.25">
      <c r="A54" s="1">
        <f t="shared" si="2"/>
        <v>0.74506833284806095</v>
      </c>
      <c r="B54" s="1">
        <f t="shared" si="3"/>
        <v>0.77811844057678303</v>
      </c>
      <c r="C54" s="1">
        <f t="shared" si="0"/>
        <v>-3.6718613157016371</v>
      </c>
      <c r="D54" s="1">
        <f t="shared" si="1"/>
        <v>5.2280981968552034</v>
      </c>
      <c r="E54" s="1">
        <f t="shared" si="4"/>
        <v>0.56082846212678406</v>
      </c>
      <c r="F54" s="1">
        <f t="shared" si="5"/>
        <v>0.99540841902678201</v>
      </c>
      <c r="G54" s="1">
        <f t="shared" si="6"/>
        <v>1.0512362409118401</v>
      </c>
      <c r="H54" s="1">
        <f t="shared" si="7"/>
        <v>0.33867808652725606</v>
      </c>
      <c r="I54" s="1">
        <f t="shared" si="8"/>
        <v>1.7637943952964241</v>
      </c>
      <c r="J54" s="1">
        <f t="shared" si="9"/>
        <v>0.33807959065040605</v>
      </c>
      <c r="K54" s="1">
        <f t="shared" si="10"/>
        <v>1.7643928911732742</v>
      </c>
      <c r="L54" s="1">
        <f t="shared" si="11"/>
        <v>0.88906611027218396</v>
      </c>
      <c r="M54" s="1">
        <f t="shared" si="12"/>
        <v>-0.3073404153603061</v>
      </c>
      <c r="N54" s="1">
        <f t="shared" si="13"/>
        <v>2.085472635904674</v>
      </c>
      <c r="O54" s="1">
        <f t="shared" si="14"/>
        <v>0.52263477182915297</v>
      </c>
      <c r="P54" s="1">
        <f t="shared" si="15"/>
        <v>1.2554974487152148</v>
      </c>
    </row>
    <row r="55" spans="1:16" x14ac:dyDescent="0.25">
      <c r="A55" s="1">
        <f t="shared" si="2"/>
        <v>0.78646101800628498</v>
      </c>
      <c r="B55" s="1">
        <f t="shared" si="3"/>
        <v>0.78849770046687395</v>
      </c>
      <c r="C55" s="1">
        <f t="shared" si="0"/>
        <v>-4.2031437784163455</v>
      </c>
      <c r="D55" s="1">
        <f t="shared" si="1"/>
        <v>5.780139179350094</v>
      </c>
      <c r="E55" s="1">
        <f t="shared" si="4"/>
        <v>0.55996931845131592</v>
      </c>
      <c r="F55" s="1">
        <f t="shared" si="5"/>
        <v>1.017026082482432</v>
      </c>
      <c r="G55" s="1">
        <f t="shared" si="6"/>
        <v>1.1175111936695901</v>
      </c>
      <c r="H55" s="1">
        <f t="shared" si="7"/>
        <v>0.33696776981626408</v>
      </c>
      <c r="I55" s="1">
        <f t="shared" si="8"/>
        <v>1.898054617522916</v>
      </c>
      <c r="J55" s="1">
        <f t="shared" si="9"/>
        <v>0.36572473613762901</v>
      </c>
      <c r="K55" s="1">
        <f t="shared" si="10"/>
        <v>1.8692976512015511</v>
      </c>
      <c r="L55" s="1">
        <f t="shared" si="11"/>
        <v>0.92720492052585202</v>
      </c>
      <c r="M55" s="1">
        <f t="shared" si="12"/>
        <v>-0.43071493396804794</v>
      </c>
      <c r="N55" s="1">
        <f t="shared" si="13"/>
        <v>2.2851247750197521</v>
      </c>
      <c r="O55" s="1">
        <f t="shared" si="14"/>
        <v>0.55530343979292196</v>
      </c>
      <c r="P55" s="1">
        <f t="shared" si="15"/>
        <v>1.2991064012587821</v>
      </c>
    </row>
    <row r="56" spans="1:16" x14ac:dyDescent="0.25">
      <c r="A56" s="1">
        <f t="shared" si="2"/>
        <v>0.82785370316449303</v>
      </c>
      <c r="B56" s="1">
        <f t="shared" si="3"/>
        <v>0.79675922116860898</v>
      </c>
      <c r="C56" s="1">
        <f t="shared" si="0"/>
        <v>-4.4613810181459002</v>
      </c>
      <c r="D56" s="1">
        <f t="shared" si="1"/>
        <v>6.054899460483119</v>
      </c>
      <c r="E56" s="1">
        <f t="shared" si="4"/>
        <v>0.56031167402715099</v>
      </c>
      <c r="F56" s="1">
        <f t="shared" si="5"/>
        <v>1.033206768310067</v>
      </c>
      <c r="G56" s="1">
        <f t="shared" si="6"/>
        <v>1.1487923470589101</v>
      </c>
      <c r="H56" s="1">
        <f t="shared" si="7"/>
        <v>0.34182711650112008</v>
      </c>
      <c r="I56" s="1">
        <f t="shared" si="8"/>
        <v>1.9557575776167</v>
      </c>
      <c r="J56" s="1">
        <f t="shared" si="9"/>
        <v>0.40224021279902111</v>
      </c>
      <c r="K56" s="1">
        <f t="shared" si="10"/>
        <v>1.8953444813187992</v>
      </c>
      <c r="L56" s="1">
        <f t="shared" si="11"/>
        <v>0.95488232493324599</v>
      </c>
      <c r="M56" s="1">
        <f t="shared" si="12"/>
        <v>-0.48353211646607408</v>
      </c>
      <c r="N56" s="1">
        <f t="shared" si="13"/>
        <v>2.3932967663325662</v>
      </c>
      <c r="O56" s="1">
        <f t="shared" si="14"/>
        <v>0.58714315572433207</v>
      </c>
      <c r="P56" s="1">
        <f t="shared" si="15"/>
        <v>1.3226214941421599</v>
      </c>
    </row>
    <row r="57" spans="1:16" x14ac:dyDescent="0.25">
      <c r="A57" s="1">
        <f t="shared" si="2"/>
        <v>0.86924638832272205</v>
      </c>
      <c r="B57" s="1">
        <f t="shared" si="3"/>
        <v>0.83935478545596498</v>
      </c>
      <c r="C57" s="1">
        <f t="shared" si="0"/>
        <v>-5.1349049240406144</v>
      </c>
      <c r="D57" s="1">
        <f t="shared" si="1"/>
        <v>6.813614494952545</v>
      </c>
      <c r="E57" s="1">
        <f t="shared" si="4"/>
        <v>0.60369025241269392</v>
      </c>
      <c r="F57" s="1">
        <f t="shared" si="5"/>
        <v>1.075019318499236</v>
      </c>
      <c r="G57" s="1">
        <f t="shared" si="6"/>
        <v>1.22066626116315</v>
      </c>
      <c r="H57" s="1">
        <f t="shared" si="7"/>
        <v>0.33456686420508297</v>
      </c>
      <c r="I57" s="1">
        <f t="shared" si="8"/>
        <v>2.1067656581212173</v>
      </c>
      <c r="J57" s="1">
        <f t="shared" si="9"/>
        <v>0.42447425304143904</v>
      </c>
      <c r="K57" s="1">
        <f t="shared" si="10"/>
        <v>2.0168582692848611</v>
      </c>
      <c r="L57" s="1">
        <f t="shared" si="11"/>
        <v>0.98569351792365301</v>
      </c>
      <c r="M57" s="1">
        <f t="shared" si="12"/>
        <v>-0.59620808535351699</v>
      </c>
      <c r="N57" s="1">
        <f t="shared" si="13"/>
        <v>2.567595121200823</v>
      </c>
      <c r="O57" s="1">
        <f t="shared" si="14"/>
        <v>0.61395024218757199</v>
      </c>
      <c r="P57" s="1">
        <f t="shared" si="15"/>
        <v>1.357436793659734</v>
      </c>
    </row>
    <row r="58" spans="1:16" x14ac:dyDescent="0.25">
      <c r="A58" s="1">
        <f t="shared" si="2"/>
        <v>0.91063907348097095</v>
      </c>
      <c r="B58" s="1">
        <f t="shared" si="3"/>
        <v>0.86490855635164399</v>
      </c>
      <c r="C58" s="1">
        <f t="shared" si="0"/>
        <v>-5.528452828025916</v>
      </c>
      <c r="D58" s="1">
        <f t="shared" si="1"/>
        <v>7.2582699407292033</v>
      </c>
      <c r="E58" s="1">
        <f t="shared" si="4"/>
        <v>0.63925385973547499</v>
      </c>
      <c r="F58" s="1">
        <f t="shared" si="5"/>
        <v>1.0905632529678129</v>
      </c>
      <c r="G58" s="1">
        <f t="shared" si="6"/>
        <v>1.24577924965557</v>
      </c>
      <c r="H58" s="1">
        <f t="shared" si="7"/>
        <v>0.33135731756264497</v>
      </c>
      <c r="I58" s="1">
        <f t="shared" si="8"/>
        <v>2.1602011817484952</v>
      </c>
      <c r="J58" s="1">
        <f t="shared" si="9"/>
        <v>0.43239130294175498</v>
      </c>
      <c r="K58" s="1">
        <f t="shared" si="10"/>
        <v>2.0591671963693852</v>
      </c>
      <c r="L58" s="1">
        <f t="shared" si="11"/>
        <v>0.99625506625955296</v>
      </c>
      <c r="M58" s="1">
        <f t="shared" si="12"/>
        <v>-0.63610527211648715</v>
      </c>
      <c r="N58" s="1">
        <f t="shared" si="13"/>
        <v>2.628615404635593</v>
      </c>
      <c r="O58" s="1">
        <f t="shared" si="14"/>
        <v>0.62182476191915503</v>
      </c>
      <c r="P58" s="1">
        <f t="shared" si="15"/>
        <v>1.3706853705999509</v>
      </c>
    </row>
    <row r="59" spans="1:16" x14ac:dyDescent="0.25">
      <c r="A59" s="1">
        <f t="shared" si="2"/>
        <v>0.95203175863915501</v>
      </c>
      <c r="B59" s="1">
        <f t="shared" si="3"/>
        <v>0.87777829909632699</v>
      </c>
      <c r="C59" s="1">
        <f t="shared" si="0"/>
        <v>-5.7455844971308139</v>
      </c>
      <c r="D59" s="1">
        <f t="shared" si="1"/>
        <v>7.501141095323467</v>
      </c>
      <c r="E59" s="1">
        <f t="shared" si="4"/>
        <v>0.67134400936765704</v>
      </c>
      <c r="F59" s="1">
        <f t="shared" si="5"/>
        <v>1.0842125888249969</v>
      </c>
      <c r="G59" s="1">
        <f t="shared" si="6"/>
        <v>1.2736345166026199</v>
      </c>
      <c r="H59" s="1">
        <f t="shared" si="7"/>
        <v>0.34002891485622899</v>
      </c>
      <c r="I59" s="1">
        <f t="shared" si="8"/>
        <v>2.2072401183490111</v>
      </c>
      <c r="J59" s="1">
        <f t="shared" si="9"/>
        <v>0.48530606870304893</v>
      </c>
      <c r="K59" s="1">
        <f t="shared" si="10"/>
        <v>2.0619629645021909</v>
      </c>
      <c r="L59" s="1">
        <f t="shared" si="11"/>
        <v>1.0301687298767901</v>
      </c>
      <c r="M59" s="1">
        <f t="shared" si="12"/>
        <v>-0.69426318296586986</v>
      </c>
      <c r="N59" s="1">
        <f t="shared" si="13"/>
        <v>2.75460064271945</v>
      </c>
      <c r="O59" s="1">
        <f t="shared" si="14"/>
        <v>0.66352751042596902</v>
      </c>
      <c r="P59" s="1">
        <f t="shared" si="15"/>
        <v>1.3968099493276112</v>
      </c>
    </row>
    <row r="60" spans="1:16" x14ac:dyDescent="0.25">
      <c r="A60" s="1">
        <f t="shared" si="2"/>
        <v>0.99342444379738704</v>
      </c>
      <c r="B60" s="1">
        <f t="shared" si="3"/>
        <v>0.87339107762479395</v>
      </c>
      <c r="C60" s="1">
        <f t="shared" si="0"/>
        <v>-5.5256486781463465</v>
      </c>
      <c r="D60" s="1">
        <f t="shared" si="1"/>
        <v>7.2724308333959335</v>
      </c>
      <c r="E60" s="1">
        <f t="shared" si="4"/>
        <v>0.68143652427067591</v>
      </c>
      <c r="F60" s="1">
        <f t="shared" si="5"/>
        <v>1.065345630978912</v>
      </c>
      <c r="G60" s="1">
        <f t="shared" si="6"/>
        <v>1.3526103838851999</v>
      </c>
      <c r="H60" s="1">
        <f t="shared" si="7"/>
        <v>0.32891428510175991</v>
      </c>
      <c r="I60" s="1">
        <f t="shared" si="8"/>
        <v>2.3763064826686398</v>
      </c>
      <c r="J60" s="1">
        <f t="shared" si="9"/>
        <v>0.51251420084979193</v>
      </c>
      <c r="K60" s="1">
        <f t="shared" si="10"/>
        <v>2.1927065669206081</v>
      </c>
      <c r="L60" s="1">
        <f t="shared" si="11"/>
        <v>1.0543079777541899</v>
      </c>
      <c r="M60" s="1">
        <f t="shared" si="12"/>
        <v>-0.75964252534910015</v>
      </c>
      <c r="N60" s="1">
        <f t="shared" si="13"/>
        <v>2.86825848085748</v>
      </c>
      <c r="O60" s="1">
        <f t="shared" si="14"/>
        <v>0.69669678048127592</v>
      </c>
      <c r="P60" s="1">
        <f t="shared" si="15"/>
        <v>1.4119191750271041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zoomScaleNormal="100" workbookViewId="0">
      <selection activeCell="J31" sqref="J31"/>
    </sheetView>
  </sheetViews>
  <sheetFormatPr defaultColWidth="10.7109375" defaultRowHeight="15" x14ac:dyDescent="0.25"/>
  <cols>
    <col min="1" max="1" width="10.7109375" style="1"/>
    <col min="2" max="2" width="10.7109375" style="1" customWidth="1"/>
    <col min="3" max="16384" width="10.7109375" style="1"/>
  </cols>
  <sheetData>
    <row r="1" spans="1:17" x14ac:dyDescent="0.25">
      <c r="A1" s="1" t="s">
        <v>0</v>
      </c>
      <c r="B1" s="9">
        <v>256</v>
      </c>
      <c r="C1" s="9"/>
    </row>
    <row r="2" spans="1:17" x14ac:dyDescent="0.25">
      <c r="A2" s="1" t="s">
        <v>1</v>
      </c>
      <c r="B2" s="9">
        <v>1000</v>
      </c>
      <c r="C2" s="9"/>
    </row>
    <row r="3" spans="1:17" x14ac:dyDescent="0.25">
      <c r="A3" s="1" t="s">
        <v>2</v>
      </c>
      <c r="B3" s="9">
        <v>1</v>
      </c>
      <c r="C3" s="9"/>
    </row>
    <row r="4" spans="1:17" x14ac:dyDescent="0.25">
      <c r="A4" s="1" t="s">
        <v>3</v>
      </c>
      <c r="B4" s="9">
        <v>10</v>
      </c>
      <c r="C4" s="9"/>
    </row>
    <row r="5" spans="1:17" x14ac:dyDescent="0.25">
      <c r="A5" s="1" t="s">
        <v>4</v>
      </c>
      <c r="B5" s="10">
        <v>1.1000000000000001</v>
      </c>
      <c r="C5" s="10"/>
    </row>
    <row r="6" spans="1:17" x14ac:dyDescent="0.25">
      <c r="A6" s="1" t="s">
        <v>5</v>
      </c>
      <c r="B6" s="10">
        <v>5.5100000000000003E-2</v>
      </c>
      <c r="C6" s="10"/>
    </row>
    <row r="7" spans="1:17" x14ac:dyDescent="0.25">
      <c r="A7" s="1" t="s">
        <v>6</v>
      </c>
      <c r="B7" s="8">
        <v>2.71828182845904E+17</v>
      </c>
      <c r="C7" s="8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2" t="s">
        <v>33</v>
      </c>
      <c r="P10" s="2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1.14422689227339</v>
      </c>
      <c r="D11">
        <v>5.8457258235694198E-2</v>
      </c>
      <c r="E11" s="7">
        <v>9.9255918511969899E-7</v>
      </c>
      <c r="F11">
        <v>6.8998671465599001E-3</v>
      </c>
      <c r="G11">
        <v>1.144219638292</v>
      </c>
      <c r="H11">
        <v>5.8455195749303197E-2</v>
      </c>
      <c r="I11">
        <v>5.7507074021536401E-3</v>
      </c>
      <c r="J11">
        <v>6.8563513003174299E-3</v>
      </c>
      <c r="K11">
        <v>1.1730400000000101</v>
      </c>
      <c r="L11">
        <v>6.8877428103286106E-2</v>
      </c>
      <c r="M11">
        <v>7.5468161770403698E-3</v>
      </c>
      <c r="N11">
        <v>1.95611568031916E-2</v>
      </c>
      <c r="O11">
        <v>1000</v>
      </c>
      <c r="P11">
        <v>0</v>
      </c>
      <c r="Q11">
        <v>0</v>
      </c>
    </row>
    <row r="12" spans="1:17" x14ac:dyDescent="0.25">
      <c r="A12">
        <v>1.21000000000001</v>
      </c>
      <c r="B12">
        <v>8.2785370316449003E-2</v>
      </c>
      <c r="C12">
        <v>1.2752211484776701</v>
      </c>
      <c r="D12">
        <v>0.105317368861625</v>
      </c>
      <c r="E12" s="7">
        <v>5.4979474411759202E-6</v>
      </c>
      <c r="F12">
        <v>1.5207412478384801E-2</v>
      </c>
      <c r="G12">
        <v>1.2749438798533801</v>
      </c>
      <c r="H12">
        <v>0.105232194269807</v>
      </c>
      <c r="I12">
        <v>1.39226931467871E-2</v>
      </c>
      <c r="J12">
        <v>1.4944767404767899E-2</v>
      </c>
      <c r="K12">
        <v>1.28913399999999</v>
      </c>
      <c r="L12">
        <v>0.109773401039611</v>
      </c>
      <c r="M12">
        <v>1.49308833031716E-2</v>
      </c>
      <c r="N12">
        <v>2.13949801825414E-2</v>
      </c>
      <c r="O12">
        <v>1000</v>
      </c>
      <c r="P12">
        <v>0</v>
      </c>
      <c r="Q12">
        <v>0</v>
      </c>
    </row>
    <row r="13" spans="1:17" x14ac:dyDescent="0.25">
      <c r="A13">
        <v>1.33099999999998</v>
      </c>
      <c r="B13">
        <v>0.124178055474673</v>
      </c>
      <c r="C13">
        <v>1.4299791584291599</v>
      </c>
      <c r="D13">
        <v>0.15417573588195699</v>
      </c>
      <c r="E13" s="7">
        <v>2.8162731092074201E-5</v>
      </c>
      <c r="F13">
        <v>3.1042822495288599E-2</v>
      </c>
      <c r="G13">
        <v>1.4240519721953</v>
      </c>
      <c r="H13">
        <v>0.15265626080890901</v>
      </c>
      <c r="I13">
        <v>2.44239589574912E-2</v>
      </c>
      <c r="J13">
        <v>2.71339447491123E-2</v>
      </c>
      <c r="K13">
        <v>1.4304375350099801</v>
      </c>
      <c r="L13">
        <v>0.15439471564017901</v>
      </c>
      <c r="M13">
        <v>2.48937200112712E-2</v>
      </c>
      <c r="N13">
        <v>3.0237452372189801E-2</v>
      </c>
      <c r="O13">
        <v>1000</v>
      </c>
      <c r="P13">
        <v>0</v>
      </c>
      <c r="Q13">
        <v>0</v>
      </c>
    </row>
    <row r="14" spans="1:17" x14ac:dyDescent="0.25">
      <c r="A14">
        <v>1.46409999999998</v>
      </c>
      <c r="B14">
        <v>0.16557074063289801</v>
      </c>
      <c r="C14">
        <v>1.61155385216042</v>
      </c>
      <c r="D14">
        <v>0.20401756209143501</v>
      </c>
      <c r="E14" s="7">
        <v>2.0501388538479999E-4</v>
      </c>
      <c r="F14">
        <v>5.0716763901572197E-2</v>
      </c>
      <c r="G14">
        <v>1.5864200521996901</v>
      </c>
      <c r="H14">
        <v>0.19856630903797501</v>
      </c>
      <c r="I14">
        <v>3.6338965228276197E-2</v>
      </c>
      <c r="J14">
        <v>3.9502503227672597E-2</v>
      </c>
      <c r="K14">
        <v>1.5918167515914401</v>
      </c>
      <c r="L14">
        <v>0.200081749059104</v>
      </c>
      <c r="M14">
        <v>3.6719106666361599E-2</v>
      </c>
      <c r="N14">
        <v>3.9159597172323098E-2</v>
      </c>
      <c r="O14">
        <v>1000</v>
      </c>
      <c r="P14">
        <v>0</v>
      </c>
      <c r="Q14">
        <v>0</v>
      </c>
    </row>
    <row r="15" spans="1:17" x14ac:dyDescent="0.25">
      <c r="A15">
        <v>1.6105099999999799</v>
      </c>
      <c r="B15">
        <v>0.20696342579112301</v>
      </c>
      <c r="C15">
        <v>1.83771712003863</v>
      </c>
      <c r="D15">
        <v>0.25796307676810498</v>
      </c>
      <c r="E15">
        <v>2.41769778235214E-3</v>
      </c>
      <c r="F15">
        <v>7.0184607717775002E-2</v>
      </c>
      <c r="G15">
        <v>1.7816540532718901</v>
      </c>
      <c r="H15">
        <v>0.24689513269633101</v>
      </c>
      <c r="I15">
        <v>5.0603868450558802E-2</v>
      </c>
      <c r="J15">
        <v>5.6546013669370697E-2</v>
      </c>
      <c r="K15">
        <v>1.7766906983564299</v>
      </c>
      <c r="L15">
        <v>0.245705265205657</v>
      </c>
      <c r="M15">
        <v>5.0217558571480497E-2</v>
      </c>
      <c r="N15">
        <v>5.6299028147699902E-2</v>
      </c>
      <c r="O15">
        <v>1000</v>
      </c>
      <c r="P15">
        <v>0</v>
      </c>
      <c r="Q15">
        <v>0</v>
      </c>
    </row>
    <row r="16" spans="1:17" x14ac:dyDescent="0.25">
      <c r="A16">
        <v>1.7715610000000099</v>
      </c>
      <c r="B16">
        <v>0.24835611094934601</v>
      </c>
      <c r="C16">
        <v>2.1053981238016002</v>
      </c>
      <c r="D16">
        <v>0.31225507994430202</v>
      </c>
      <c r="E16">
        <v>1.23602867458483E-2</v>
      </c>
      <c r="F16">
        <v>9.2797727750321399E-2</v>
      </c>
      <c r="G16">
        <v>2.00017877313479</v>
      </c>
      <c r="H16">
        <v>0.295035432384056</v>
      </c>
      <c r="I16">
        <v>6.6210796816577197E-2</v>
      </c>
      <c r="J16">
        <v>7.0210017495203197E-2</v>
      </c>
      <c r="K16">
        <v>1.9863178855638</v>
      </c>
      <c r="L16">
        <v>0.292113528476657</v>
      </c>
      <c r="M16">
        <v>6.5184106568694306E-2</v>
      </c>
      <c r="N16">
        <v>6.97142367675882E-2</v>
      </c>
      <c r="O16">
        <v>1000</v>
      </c>
      <c r="P16">
        <v>0</v>
      </c>
      <c r="Q16">
        <v>0</v>
      </c>
    </row>
    <row r="17" spans="1:17" x14ac:dyDescent="0.25">
      <c r="A17">
        <v>1.9487171000000201</v>
      </c>
      <c r="B17">
        <v>0.28974879610757398</v>
      </c>
      <c r="C17">
        <v>2.4673301570163599</v>
      </c>
      <c r="D17">
        <v>0.37006751503499902</v>
      </c>
      <c r="E17">
        <v>4.0861135089134401E-2</v>
      </c>
      <c r="F17">
        <v>0.126388893334065</v>
      </c>
      <c r="G17">
        <v>2.2766246004179602</v>
      </c>
      <c r="H17">
        <v>0.34520964103776303</v>
      </c>
      <c r="I17">
        <v>8.4406992444421403E-2</v>
      </c>
      <c r="J17">
        <v>9.6593244607768303E-2</v>
      </c>
      <c r="K17">
        <v>2.2623380794535102</v>
      </c>
      <c r="L17">
        <v>0.34271026928685699</v>
      </c>
      <c r="M17">
        <v>8.3526152183284505E-2</v>
      </c>
      <c r="N17">
        <v>9.5833262444824999E-2</v>
      </c>
      <c r="O17">
        <v>1000</v>
      </c>
      <c r="P17">
        <v>0</v>
      </c>
      <c r="Q17">
        <v>0</v>
      </c>
    </row>
    <row r="18" spans="1:17" x14ac:dyDescent="0.25">
      <c r="A18">
        <v>2.1435888099999798</v>
      </c>
      <c r="B18">
        <v>0.33114148126579601</v>
      </c>
      <c r="C18">
        <v>2.8654816482476901</v>
      </c>
      <c r="D18">
        <v>0.42950303926394001</v>
      </c>
      <c r="E18">
        <v>8.5086561950473802E-2</v>
      </c>
      <c r="F18">
        <v>0.14169003706945699</v>
      </c>
      <c r="G18">
        <v>2.5931558108156998</v>
      </c>
      <c r="H18">
        <v>0.39678742007832402</v>
      </c>
      <c r="I18">
        <v>0.104072891637971</v>
      </c>
      <c r="J18">
        <v>0.1123537453357</v>
      </c>
      <c r="K18">
        <v>2.5754020712872698</v>
      </c>
      <c r="L18">
        <v>0.39341010246297298</v>
      </c>
      <c r="M18">
        <v>0.10305100576842099</v>
      </c>
      <c r="N18">
        <v>0.11262952273777301</v>
      </c>
      <c r="O18">
        <v>1000</v>
      </c>
      <c r="P18">
        <v>0</v>
      </c>
      <c r="Q18">
        <v>0</v>
      </c>
    </row>
    <row r="19" spans="1:17" x14ac:dyDescent="0.25">
      <c r="A19">
        <v>2.3579476909999699</v>
      </c>
      <c r="B19">
        <v>0.37253416642402998</v>
      </c>
      <c r="C19">
        <v>3.2771749199888398</v>
      </c>
      <c r="D19">
        <v>0.47739662440674902</v>
      </c>
      <c r="E19">
        <v>0.15069516152930401</v>
      </c>
      <c r="F19">
        <v>0.16704708795150899</v>
      </c>
      <c r="G19">
        <v>2.9672370184066299</v>
      </c>
      <c r="H19">
        <v>0.44533521281233002</v>
      </c>
      <c r="I19">
        <v>0.124458037023882</v>
      </c>
      <c r="J19">
        <v>0.139018655001208</v>
      </c>
      <c r="K19">
        <v>2.94100290485438</v>
      </c>
      <c r="L19">
        <v>0.44130304938655102</v>
      </c>
      <c r="M19">
        <v>0.12514410115948699</v>
      </c>
      <c r="N19">
        <v>0.13814864743900701</v>
      </c>
      <c r="O19">
        <v>1000</v>
      </c>
      <c r="P19">
        <v>0</v>
      </c>
      <c r="Q19">
        <v>0</v>
      </c>
    </row>
    <row r="20" spans="1:17" x14ac:dyDescent="0.25">
      <c r="A20">
        <v>2.5937424601000201</v>
      </c>
      <c r="B20">
        <v>0.41392685158224601</v>
      </c>
      <c r="C20">
        <v>3.7137605607761799</v>
      </c>
      <c r="D20">
        <v>0.52767620592101705</v>
      </c>
      <c r="E20">
        <v>0.21801302635598799</v>
      </c>
      <c r="F20">
        <v>0.17917602993543899</v>
      </c>
      <c r="G20">
        <v>4.75696536925755</v>
      </c>
      <c r="H20">
        <v>0.50251078738570698</v>
      </c>
      <c r="I20">
        <v>0.15122868829626501</v>
      </c>
      <c r="J20">
        <v>0.19382791829305501</v>
      </c>
      <c r="K20">
        <v>3.4640235047737402</v>
      </c>
      <c r="L20">
        <v>0.49520474814834903</v>
      </c>
      <c r="M20">
        <v>0.14985339346881199</v>
      </c>
      <c r="N20">
        <v>0.16942462282242801</v>
      </c>
      <c r="O20">
        <v>1000</v>
      </c>
      <c r="P20">
        <v>0</v>
      </c>
      <c r="Q20">
        <v>0</v>
      </c>
    </row>
    <row r="21" spans="1:17" x14ac:dyDescent="0.25">
      <c r="A21">
        <v>2.85311670611005</v>
      </c>
      <c r="B21">
        <v>0.45531953674048498</v>
      </c>
      <c r="C21">
        <v>4.0178779107941498</v>
      </c>
      <c r="D21">
        <v>0.55855145309999199</v>
      </c>
      <c r="E21">
        <v>0.32114901171712301</v>
      </c>
      <c r="F21">
        <v>0.18519300240040701</v>
      </c>
      <c r="G21">
        <v>1268.2470470708899</v>
      </c>
      <c r="H21">
        <v>0.54081386947027199</v>
      </c>
      <c r="I21">
        <v>0.170873951751324</v>
      </c>
      <c r="J21">
        <v>0.25327647195077901</v>
      </c>
      <c r="K21">
        <v>3.7982907052970201</v>
      </c>
      <c r="L21">
        <v>0.53071355056342695</v>
      </c>
      <c r="M21">
        <v>0.164335178483834</v>
      </c>
      <c r="N21">
        <v>0.17912674588171601</v>
      </c>
      <c r="O21">
        <v>1000</v>
      </c>
      <c r="P21">
        <v>0</v>
      </c>
      <c r="Q21">
        <v>0</v>
      </c>
    </row>
    <row r="22" spans="1:17" x14ac:dyDescent="0.25">
      <c r="A22">
        <v>3.1384283767210501</v>
      </c>
      <c r="B22">
        <v>0.49671222189869302</v>
      </c>
      <c r="C22">
        <v>4.6097521925746303</v>
      </c>
      <c r="D22">
        <v>0.61492408705260804</v>
      </c>
      <c r="E22">
        <v>0.42655794534857699</v>
      </c>
      <c r="F22">
        <v>0.19664082207156</v>
      </c>
      <c r="G22">
        <v>6.0564082454262502</v>
      </c>
      <c r="H22">
        <v>0.60488980835176298</v>
      </c>
      <c r="I22">
        <v>0.19992168209268801</v>
      </c>
      <c r="J22">
        <v>0.23233340878486899</v>
      </c>
      <c r="K22">
        <v>4.5772593902064003</v>
      </c>
      <c r="L22">
        <v>0.59529934179212696</v>
      </c>
      <c r="M22">
        <v>0.195663015024021</v>
      </c>
      <c r="N22">
        <v>0.20779737763086101</v>
      </c>
      <c r="O22">
        <v>1000</v>
      </c>
      <c r="P22">
        <v>0</v>
      </c>
      <c r="Q22">
        <v>0</v>
      </c>
    </row>
    <row r="23" spans="1:17" x14ac:dyDescent="0.25">
      <c r="A23">
        <v>3.4522712143930399</v>
      </c>
      <c r="B23">
        <v>0.53810490705693204</v>
      </c>
      <c r="C23">
        <v>5.0447296482226696</v>
      </c>
      <c r="D23">
        <v>0.65101766791879401</v>
      </c>
      <c r="E23">
        <v>0.53468540231717998</v>
      </c>
      <c r="F23">
        <v>0.20444468358555501</v>
      </c>
      <c r="G23">
        <v>9.0486519026308194</v>
      </c>
      <c r="H23">
        <v>0.66605404514021305</v>
      </c>
      <c r="I23">
        <v>0.23242695336115701</v>
      </c>
      <c r="J23">
        <v>0.27340894710449398</v>
      </c>
      <c r="K23">
        <v>5.4577454847598403</v>
      </c>
      <c r="L23">
        <v>0.65359462783240296</v>
      </c>
      <c r="M23">
        <v>0.22388291262195401</v>
      </c>
      <c r="N23">
        <v>0.237854762804488</v>
      </c>
      <c r="O23">
        <v>1000</v>
      </c>
      <c r="P23">
        <v>0</v>
      </c>
      <c r="Q23">
        <v>0</v>
      </c>
    </row>
    <row r="24" spans="1:17" x14ac:dyDescent="0.25">
      <c r="A24">
        <v>3.79749833583231</v>
      </c>
      <c r="B24">
        <v>0.57949759221514796</v>
      </c>
      <c r="C24">
        <v>5.44428535671386</v>
      </c>
      <c r="D24">
        <v>0.68210990301806196</v>
      </c>
      <c r="E24">
        <v>0.77030305403306498</v>
      </c>
      <c r="F24">
        <v>0.20904687295740501</v>
      </c>
      <c r="G24">
        <v>1274.9112790619199</v>
      </c>
      <c r="H24">
        <v>0.72355832282682397</v>
      </c>
      <c r="I24">
        <v>0.26735664592414998</v>
      </c>
      <c r="J24">
        <v>0.35113473215565399</v>
      </c>
      <c r="K24">
        <v>6.1916676606327199</v>
      </c>
      <c r="L24">
        <v>0.70020803159204803</v>
      </c>
      <c r="M24">
        <v>0.25063400438028499</v>
      </c>
      <c r="N24">
        <v>0.25359676915943102</v>
      </c>
      <c r="O24">
        <v>1000</v>
      </c>
      <c r="P24">
        <v>0</v>
      </c>
      <c r="Q24">
        <v>0</v>
      </c>
    </row>
    <row r="25" spans="1:17" x14ac:dyDescent="0.25">
      <c r="A25">
        <v>4.1772481694156403</v>
      </c>
      <c r="B25">
        <v>0.62089027737336999</v>
      </c>
      <c r="C25">
        <v>5.8258903249485101</v>
      </c>
      <c r="D25">
        <v>0.70901860850228804</v>
      </c>
      <c r="E25">
        <v>0.93512133057928504</v>
      </c>
      <c r="F25">
        <v>0.21447194453475299</v>
      </c>
      <c r="G25">
        <v>2541.5388209214402</v>
      </c>
      <c r="H25">
        <v>0.76489761316183702</v>
      </c>
      <c r="I25">
        <v>0.29239477210550902</v>
      </c>
      <c r="J25">
        <v>0.39368191776272998</v>
      </c>
      <c r="K25">
        <v>6.8830727946966599</v>
      </c>
      <c r="L25">
        <v>0.73709077214687801</v>
      </c>
      <c r="M25">
        <v>0.26031504660369797</v>
      </c>
      <c r="N25">
        <v>0.26882196255878399</v>
      </c>
      <c r="O25">
        <v>1000</v>
      </c>
      <c r="P25">
        <v>0</v>
      </c>
      <c r="Q25">
        <v>0</v>
      </c>
    </row>
    <row r="26" spans="1:17" x14ac:dyDescent="0.25">
      <c r="A26">
        <v>4.5949729863572504</v>
      </c>
      <c r="B26">
        <v>0.66228296253159202</v>
      </c>
      <c r="C26">
        <v>6.1578497206247897</v>
      </c>
      <c r="D26">
        <v>0.73295824689969202</v>
      </c>
      <c r="E26">
        <v>1.0411374735324099</v>
      </c>
      <c r="F26">
        <v>0.216676173962323</v>
      </c>
      <c r="G26">
        <v>2549.2401635686601</v>
      </c>
      <c r="H26">
        <v>0.84368751452652102</v>
      </c>
      <c r="I26">
        <v>0.34107742695690502</v>
      </c>
      <c r="J26">
        <v>0.44759852396245497</v>
      </c>
      <c r="K26">
        <v>8.1161076556121508</v>
      </c>
      <c r="L26">
        <v>0.79879116925252902</v>
      </c>
      <c r="M26">
        <v>0.28550325782414798</v>
      </c>
      <c r="N26">
        <v>0.28920098976379</v>
      </c>
      <c r="O26">
        <v>999</v>
      </c>
      <c r="P26">
        <v>1</v>
      </c>
      <c r="Q26">
        <v>1E-3</v>
      </c>
    </row>
    <row r="27" spans="1:17" x14ac:dyDescent="0.25">
      <c r="A27">
        <v>5.0544702849929299</v>
      </c>
      <c r="B27">
        <v>0.70367564768981405</v>
      </c>
      <c r="C27">
        <v>6.6157548530569104</v>
      </c>
      <c r="D27">
        <v>0.76356525208330595</v>
      </c>
      <c r="E27">
        <v>1.2004492291600399</v>
      </c>
      <c r="F27">
        <v>0.22005856861326201</v>
      </c>
      <c r="G27">
        <v>1283.3733987805099</v>
      </c>
      <c r="H27">
        <v>0.89253200971754199</v>
      </c>
      <c r="I27">
        <v>0.36630530456393401</v>
      </c>
      <c r="J27">
        <v>0.42046954767353101</v>
      </c>
      <c r="K27">
        <v>9.1517798131197505</v>
      </c>
      <c r="L27">
        <v>0.85006819083513796</v>
      </c>
      <c r="M27">
        <v>0.30590905003214403</v>
      </c>
      <c r="N27">
        <v>0.29863692906971701</v>
      </c>
      <c r="O27">
        <v>999</v>
      </c>
      <c r="P27">
        <v>1</v>
      </c>
      <c r="Q27">
        <v>1E-3</v>
      </c>
    </row>
    <row r="28" spans="1:17" x14ac:dyDescent="0.25">
      <c r="A28">
        <v>5.5599173134923303</v>
      </c>
      <c r="B28">
        <v>0.74506833284806095</v>
      </c>
      <c r="C28">
        <v>6.6537415799627802</v>
      </c>
      <c r="D28">
        <v>0.77233541093678404</v>
      </c>
      <c r="E28">
        <v>1.2606239038059801</v>
      </c>
      <c r="F28">
        <v>0.20313940884672499</v>
      </c>
      <c r="G28">
        <v>3824.3330307443498</v>
      </c>
      <c r="H28">
        <v>0.96022124079525395</v>
      </c>
      <c r="I28">
        <v>0.414938395790175</v>
      </c>
      <c r="J28">
        <v>0.51299240817454805</v>
      </c>
      <c r="K28">
        <v>10.0253182784025</v>
      </c>
      <c r="L28">
        <v>0.89233170513827098</v>
      </c>
      <c r="M28">
        <v>0.32030231567440798</v>
      </c>
      <c r="N28">
        <v>0.29974453638100701</v>
      </c>
      <c r="O28">
        <v>999</v>
      </c>
      <c r="P28">
        <v>1</v>
      </c>
      <c r="Q28">
        <v>1E-3</v>
      </c>
    </row>
    <row r="29" spans="1:17" x14ac:dyDescent="0.25">
      <c r="A29">
        <v>6.1159090448415396</v>
      </c>
      <c r="B29">
        <v>0.78646101800628598</v>
      </c>
      <c r="C29">
        <v>6.8887995876850301</v>
      </c>
      <c r="D29">
        <v>0.77827988675578097</v>
      </c>
      <c r="E29">
        <v>1.5060631534725499</v>
      </c>
      <c r="F29">
        <v>0.21888237986387399</v>
      </c>
      <c r="G29">
        <v>11427.1722133809</v>
      </c>
      <c r="H29">
        <v>1.0287812458090499</v>
      </c>
      <c r="I29">
        <v>0.47666259847845399</v>
      </c>
      <c r="J29">
        <v>0.67695848933727698</v>
      </c>
      <c r="K29">
        <v>10.668585017783601</v>
      </c>
      <c r="L29">
        <v>0.91579703464074602</v>
      </c>
      <c r="M29">
        <v>0.33125842939698302</v>
      </c>
      <c r="N29">
        <v>0.30727224339339199</v>
      </c>
      <c r="O29">
        <v>999</v>
      </c>
      <c r="P29">
        <v>1</v>
      </c>
      <c r="Q29">
        <v>1E-3</v>
      </c>
    </row>
    <row r="30" spans="1:17" x14ac:dyDescent="0.25">
      <c r="A30">
        <v>6.7274999493256402</v>
      </c>
      <c r="B30">
        <v>0.82785370316449203</v>
      </c>
      <c r="C30">
        <v>7.2125175182784904</v>
      </c>
      <c r="D30">
        <v>0.78966325526627401</v>
      </c>
      <c r="E30">
        <v>1.6302652996468101</v>
      </c>
      <c r="F30">
        <v>0.23850042792979101</v>
      </c>
      <c r="G30">
        <v>7639.9429659887201</v>
      </c>
      <c r="H30">
        <v>1.09624600574013</v>
      </c>
      <c r="I30">
        <v>0.51846434149646903</v>
      </c>
      <c r="J30">
        <v>0.66577261836323298</v>
      </c>
      <c r="K30">
        <v>12.0025755763441</v>
      </c>
      <c r="L30">
        <v>0.96482465362322301</v>
      </c>
      <c r="M30">
        <v>0.34171870968930701</v>
      </c>
      <c r="N30">
        <v>0.31955437637380202</v>
      </c>
      <c r="O30">
        <v>997</v>
      </c>
      <c r="P30">
        <v>3</v>
      </c>
      <c r="Q30">
        <v>3.0000000000000001E-3</v>
      </c>
    </row>
    <row r="31" spans="1:17" x14ac:dyDescent="0.25">
      <c r="A31">
        <v>7.4002499442583201</v>
      </c>
      <c r="B31">
        <v>0.86924638832272205</v>
      </c>
      <c r="C31">
        <v>8.3540968982593196</v>
      </c>
      <c r="D31">
        <v>0.85609990623905796</v>
      </c>
      <c r="E31">
        <v>2.1884175241421202</v>
      </c>
      <c r="F31">
        <v>0.243291566710439</v>
      </c>
      <c r="G31">
        <v>15244.455289539501</v>
      </c>
      <c r="H31">
        <v>1.1677072505106501</v>
      </c>
      <c r="I31">
        <v>0.57758045997747698</v>
      </c>
      <c r="J31">
        <v>0.76507542138047502</v>
      </c>
      <c r="K31">
        <v>12.889365339287</v>
      </c>
      <c r="L31">
        <v>1.0042566818939</v>
      </c>
      <c r="M31">
        <v>0.35608076488670398</v>
      </c>
      <c r="N31">
        <v>0.31144322022207999</v>
      </c>
      <c r="O31">
        <v>996</v>
      </c>
      <c r="P31">
        <v>4</v>
      </c>
      <c r="Q31">
        <v>4.0000000000000001E-3</v>
      </c>
    </row>
    <row r="32" spans="1:17" x14ac:dyDescent="0.25">
      <c r="A32">
        <v>8.1402749386841204</v>
      </c>
      <c r="B32">
        <v>0.91063907348097095</v>
      </c>
      <c r="C32">
        <v>8.3197806235527398</v>
      </c>
      <c r="D32">
        <v>0.86848661351393397</v>
      </c>
      <c r="E32">
        <v>2.0088645811514598</v>
      </c>
      <c r="F32">
        <v>0.21634363064020101</v>
      </c>
      <c r="G32">
        <v>10207.227654141299</v>
      </c>
      <c r="H32">
        <v>1.1923709998494001</v>
      </c>
      <c r="I32">
        <v>0.58862977579841602</v>
      </c>
      <c r="J32">
        <v>0.72591809537600505</v>
      </c>
      <c r="K32">
        <v>13.3766689309681</v>
      </c>
      <c r="L32">
        <v>1.0238276780534501</v>
      </c>
      <c r="M32">
        <v>0.35756479119587697</v>
      </c>
      <c r="N32">
        <v>0.308320143235915</v>
      </c>
      <c r="O32">
        <v>997</v>
      </c>
      <c r="P32">
        <v>3</v>
      </c>
      <c r="Q32">
        <v>3.0000000000000001E-3</v>
      </c>
    </row>
    <row r="33" spans="1:17" x14ac:dyDescent="0.25">
      <c r="A33">
        <v>8.9543024325522893</v>
      </c>
      <c r="B33">
        <v>0.95203175863915301</v>
      </c>
      <c r="C33">
        <v>8.74021628613961</v>
      </c>
      <c r="D33">
        <v>0.89964629456896394</v>
      </c>
      <c r="E33">
        <v>2.31703989930012</v>
      </c>
      <c r="F33">
        <v>0.191858027741375</v>
      </c>
      <c r="G33">
        <v>19044.226450221198</v>
      </c>
      <c r="H33">
        <v>1.2931276137876699</v>
      </c>
      <c r="I33">
        <v>0.67289967888841895</v>
      </c>
      <c r="J33">
        <v>0.83677588114101398</v>
      </c>
      <c r="K33">
        <v>14.585801741076001</v>
      </c>
      <c r="L33">
        <v>1.06780295868138</v>
      </c>
      <c r="M33">
        <v>0.38137025676859299</v>
      </c>
      <c r="N33">
        <v>0.30389702008508201</v>
      </c>
      <c r="O33">
        <v>996</v>
      </c>
      <c r="P33">
        <v>4</v>
      </c>
      <c r="Q33">
        <v>4.0000000000000001E-3</v>
      </c>
    </row>
    <row r="34" spans="1:17" x14ac:dyDescent="0.25">
      <c r="A34">
        <v>9.8497326758077506</v>
      </c>
      <c r="B34">
        <v>0.99342444379738704</v>
      </c>
      <c r="C34">
        <v>8.6126278832893099</v>
      </c>
      <c r="D34">
        <v>0.89461190481729902</v>
      </c>
      <c r="E34">
        <v>2.3442041435093399</v>
      </c>
      <c r="F34">
        <v>0.18024860944072199</v>
      </c>
      <c r="G34">
        <v>29308.952652071999</v>
      </c>
      <c r="H34">
        <v>1.3861838786543299</v>
      </c>
      <c r="I34">
        <v>0.75391674231924899</v>
      </c>
      <c r="J34">
        <v>0.93544563952117998</v>
      </c>
      <c r="K34">
        <v>15.6774114166766</v>
      </c>
      <c r="L34">
        <v>1.1054738396475501</v>
      </c>
      <c r="M34">
        <v>0.37800583294364198</v>
      </c>
      <c r="N34">
        <v>0.29917096352070999</v>
      </c>
      <c r="O34">
        <v>996</v>
      </c>
      <c r="P34">
        <v>4</v>
      </c>
      <c r="Q34">
        <v>4.0000000000000001E-3</v>
      </c>
    </row>
    <row r="36" spans="1:17" x14ac:dyDescent="0.25">
      <c r="A36" s="1" t="s">
        <v>8</v>
      </c>
      <c r="B36" s="1" t="s">
        <v>22</v>
      </c>
      <c r="C36" s="1" t="s">
        <v>18</v>
      </c>
      <c r="D36" s="1" t="s">
        <v>19</v>
      </c>
      <c r="E36" s="1" t="s">
        <v>20</v>
      </c>
      <c r="F36" s="1" t="s">
        <v>21</v>
      </c>
      <c r="G36" s="1" t="s">
        <v>23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28</v>
      </c>
      <c r="M36" s="1" t="s">
        <v>29</v>
      </c>
      <c r="N36" s="1" t="s">
        <v>30</v>
      </c>
      <c r="O36" s="1" t="s">
        <v>31</v>
      </c>
      <c r="P36" s="1" t="s">
        <v>32</v>
      </c>
    </row>
    <row r="37" spans="1:17" x14ac:dyDescent="0.25">
      <c r="A37" s="1">
        <f>$B11</f>
        <v>4.1392685158224501E-2</v>
      </c>
      <c r="B37" s="1">
        <f>$D11</f>
        <v>5.8457258235694198E-2</v>
      </c>
      <c r="C37" s="1">
        <f t="shared" ref="C37:C60" si="0">B37-$E11</f>
        <v>5.8456265676509078E-2</v>
      </c>
      <c r="D37" s="1">
        <f t="shared" ref="D37:D60" si="1">B37+$E11</f>
        <v>5.8458250794879318E-2</v>
      </c>
      <c r="E37" s="1">
        <f>$B37-$F11</f>
        <v>5.1557391089134298E-2</v>
      </c>
      <c r="F37" s="1">
        <f>$B37+$F11</f>
        <v>6.5357125382254105E-2</v>
      </c>
      <c r="G37" s="1">
        <f>$H11</f>
        <v>5.8455195749303197E-2</v>
      </c>
      <c r="H37" s="1">
        <f>$G37-$I11</f>
        <v>5.270448834714956E-2</v>
      </c>
      <c r="I37" s="1">
        <f>$G37+$I11</f>
        <v>6.4205903151456842E-2</v>
      </c>
      <c r="J37" s="1">
        <f>$G37-$J11</f>
        <v>5.159884444898577E-2</v>
      </c>
      <c r="K37" s="1">
        <f>$G37+$J11</f>
        <v>6.5311547049620625E-2</v>
      </c>
      <c r="L37" s="1">
        <f>$L11</f>
        <v>6.8877428103286106E-2</v>
      </c>
      <c r="M37" s="1">
        <f>$L37-$M11</f>
        <v>6.133061192624574E-2</v>
      </c>
      <c r="N37" s="1">
        <f>$L37+$M11</f>
        <v>7.6424244280326473E-2</v>
      </c>
      <c r="O37" s="1">
        <f>$L37-$N11</f>
        <v>4.9316271300094507E-2</v>
      </c>
      <c r="P37" s="1">
        <f>$L37+$N11</f>
        <v>8.8438584906477713E-2</v>
      </c>
    </row>
    <row r="38" spans="1:17" x14ac:dyDescent="0.25">
      <c r="A38" s="1">
        <f t="shared" ref="A38:A60" si="2">$B12</f>
        <v>8.2785370316449003E-2</v>
      </c>
      <c r="B38" s="1">
        <f t="shared" ref="B38:B60" si="3">$D12</f>
        <v>0.105317368861625</v>
      </c>
      <c r="C38" s="1">
        <f t="shared" si="0"/>
        <v>0.10531187091418383</v>
      </c>
      <c r="D38" s="1">
        <f t="shared" si="1"/>
        <v>0.10532286680906618</v>
      </c>
      <c r="E38" s="1">
        <f t="shared" ref="E38:E60" si="4">$B38-$F12</f>
        <v>9.0109956383240208E-2</v>
      </c>
      <c r="F38" s="1">
        <f t="shared" ref="F38:F60" si="5">$B38+$F12</f>
        <v>0.1205247813400098</v>
      </c>
      <c r="G38" s="1">
        <f t="shared" ref="G38:G60" si="6">$H12</f>
        <v>0.105232194269807</v>
      </c>
      <c r="H38" s="1">
        <f t="shared" ref="H38:H60" si="7">$G38-$I12</f>
        <v>9.1309501123019901E-2</v>
      </c>
      <c r="I38" s="1">
        <f t="shared" ref="I38:I60" si="8">$G38+$I12</f>
        <v>0.11915488741659409</v>
      </c>
      <c r="J38" s="1">
        <f t="shared" ref="J38:J60" si="9">$G38-$J12</f>
        <v>9.02874268650391E-2</v>
      </c>
      <c r="K38" s="1">
        <f t="shared" ref="K38:K60" si="10">$G38+$J12</f>
        <v>0.12017696167457489</v>
      </c>
      <c r="L38" s="1">
        <f t="shared" ref="L38:L60" si="11">$L12</f>
        <v>0.109773401039611</v>
      </c>
      <c r="M38" s="1">
        <f t="shared" ref="M38:M60" si="12">$L38-$M12</f>
        <v>9.4842517736439397E-2</v>
      </c>
      <c r="N38" s="1">
        <f t="shared" ref="N38:N60" si="13">$L38+$M12</f>
        <v>0.12470428434278261</v>
      </c>
      <c r="O38" s="1">
        <f t="shared" ref="O38:O60" si="14">$L38-$N12</f>
        <v>8.8378420857069595E-2</v>
      </c>
      <c r="P38" s="1">
        <f t="shared" ref="P38:P60" si="15">$L38+$N12</f>
        <v>0.13116838122215241</v>
      </c>
    </row>
    <row r="39" spans="1:17" x14ac:dyDescent="0.25">
      <c r="A39" s="1">
        <f t="shared" si="2"/>
        <v>0.124178055474673</v>
      </c>
      <c r="B39" s="1">
        <f t="shared" si="3"/>
        <v>0.15417573588195699</v>
      </c>
      <c r="C39" s="1">
        <f t="shared" si="0"/>
        <v>0.15414757315086491</v>
      </c>
      <c r="D39" s="1">
        <f t="shared" si="1"/>
        <v>0.15420389861304906</v>
      </c>
      <c r="E39" s="1">
        <f t="shared" si="4"/>
        <v>0.12313291338666839</v>
      </c>
      <c r="F39" s="1">
        <f t="shared" si="5"/>
        <v>0.1852185583772456</v>
      </c>
      <c r="G39" s="1">
        <f t="shared" si="6"/>
        <v>0.15265626080890901</v>
      </c>
      <c r="H39" s="1">
        <f t="shared" si="7"/>
        <v>0.12823230185141782</v>
      </c>
      <c r="I39" s="1">
        <f t="shared" si="8"/>
        <v>0.1770802197664002</v>
      </c>
      <c r="J39" s="1">
        <f t="shared" si="9"/>
        <v>0.12552231605979672</v>
      </c>
      <c r="K39" s="1">
        <f t="shared" si="10"/>
        <v>0.1797902055580213</v>
      </c>
      <c r="L39" s="1">
        <f t="shared" si="11"/>
        <v>0.15439471564017901</v>
      </c>
      <c r="M39" s="1">
        <f t="shared" si="12"/>
        <v>0.12950099562890782</v>
      </c>
      <c r="N39" s="1">
        <f t="shared" si="13"/>
        <v>0.1792884356514502</v>
      </c>
      <c r="O39" s="1">
        <f t="shared" si="14"/>
        <v>0.1241572632679892</v>
      </c>
      <c r="P39" s="1">
        <f t="shared" si="15"/>
        <v>0.18463216801236881</v>
      </c>
    </row>
    <row r="40" spans="1:17" x14ac:dyDescent="0.25">
      <c r="A40" s="1">
        <f t="shared" si="2"/>
        <v>0.16557074063289801</v>
      </c>
      <c r="B40" s="1">
        <f t="shared" si="3"/>
        <v>0.20401756209143501</v>
      </c>
      <c r="C40" s="1">
        <f t="shared" si="0"/>
        <v>0.20381254820605021</v>
      </c>
      <c r="D40" s="1">
        <f t="shared" si="1"/>
        <v>0.20422257597681981</v>
      </c>
      <c r="E40" s="1">
        <f t="shared" si="4"/>
        <v>0.15330079818986281</v>
      </c>
      <c r="F40" s="1">
        <f t="shared" si="5"/>
        <v>0.25473432599300722</v>
      </c>
      <c r="G40" s="1">
        <f t="shared" si="6"/>
        <v>0.19856630903797501</v>
      </c>
      <c r="H40" s="1">
        <f t="shared" si="7"/>
        <v>0.1622273438096988</v>
      </c>
      <c r="I40" s="1">
        <f t="shared" si="8"/>
        <v>0.23490527426625121</v>
      </c>
      <c r="J40" s="1">
        <f t="shared" si="9"/>
        <v>0.15906380581030241</v>
      </c>
      <c r="K40" s="1">
        <f t="shared" si="10"/>
        <v>0.23806881226564761</v>
      </c>
      <c r="L40" s="1">
        <f t="shared" si="11"/>
        <v>0.200081749059104</v>
      </c>
      <c r="M40" s="1">
        <f t="shared" si="12"/>
        <v>0.1633626423927424</v>
      </c>
      <c r="N40" s="1">
        <f t="shared" si="13"/>
        <v>0.23680085572546561</v>
      </c>
      <c r="O40" s="1">
        <f t="shared" si="14"/>
        <v>0.16092215188678091</v>
      </c>
      <c r="P40" s="1">
        <f t="shared" si="15"/>
        <v>0.23924134623142709</v>
      </c>
    </row>
    <row r="41" spans="1:17" x14ac:dyDescent="0.25">
      <c r="A41" s="1">
        <f t="shared" si="2"/>
        <v>0.20696342579112301</v>
      </c>
      <c r="B41" s="1">
        <f t="shared" si="3"/>
        <v>0.25796307676810498</v>
      </c>
      <c r="C41" s="1">
        <f t="shared" si="0"/>
        <v>0.25554537898575286</v>
      </c>
      <c r="D41" s="1">
        <f t="shared" si="1"/>
        <v>0.26038077455045711</v>
      </c>
      <c r="E41" s="1">
        <f t="shared" si="4"/>
        <v>0.18777846905032997</v>
      </c>
      <c r="F41" s="1">
        <f t="shared" si="5"/>
        <v>0.32814768448588</v>
      </c>
      <c r="G41" s="1">
        <f t="shared" si="6"/>
        <v>0.24689513269633101</v>
      </c>
      <c r="H41" s="1">
        <f t="shared" si="7"/>
        <v>0.1962912642457722</v>
      </c>
      <c r="I41" s="1">
        <f t="shared" si="8"/>
        <v>0.29749900114688982</v>
      </c>
      <c r="J41" s="1">
        <f t="shared" si="9"/>
        <v>0.19034911902696031</v>
      </c>
      <c r="K41" s="1">
        <f t="shared" si="10"/>
        <v>0.30344114636570169</v>
      </c>
      <c r="L41" s="1">
        <f t="shared" si="11"/>
        <v>0.245705265205657</v>
      </c>
      <c r="M41" s="1">
        <f t="shared" si="12"/>
        <v>0.1954877066341765</v>
      </c>
      <c r="N41" s="1">
        <f t="shared" si="13"/>
        <v>0.29592282377713752</v>
      </c>
      <c r="O41" s="1">
        <f t="shared" si="14"/>
        <v>0.18940623705795709</v>
      </c>
      <c r="P41" s="1">
        <f t="shared" si="15"/>
        <v>0.30200429335335688</v>
      </c>
    </row>
    <row r="42" spans="1:17" x14ac:dyDescent="0.25">
      <c r="A42" s="1">
        <f t="shared" si="2"/>
        <v>0.24835611094934601</v>
      </c>
      <c r="B42" s="1">
        <f t="shared" si="3"/>
        <v>0.31225507994430202</v>
      </c>
      <c r="C42" s="1">
        <f t="shared" si="0"/>
        <v>0.29989479319845369</v>
      </c>
      <c r="D42" s="1">
        <f t="shared" si="1"/>
        <v>0.32461536669015034</v>
      </c>
      <c r="E42" s="1">
        <f t="shared" si="4"/>
        <v>0.2194573521939806</v>
      </c>
      <c r="F42" s="1">
        <f t="shared" si="5"/>
        <v>0.40505280769462343</v>
      </c>
      <c r="G42" s="1">
        <f t="shared" si="6"/>
        <v>0.295035432384056</v>
      </c>
      <c r="H42" s="1">
        <f t="shared" si="7"/>
        <v>0.22882463556747878</v>
      </c>
      <c r="I42" s="1">
        <f t="shared" si="8"/>
        <v>0.36124622920063321</v>
      </c>
      <c r="J42" s="1">
        <f t="shared" si="9"/>
        <v>0.2248254148888528</v>
      </c>
      <c r="K42" s="1">
        <f t="shared" si="10"/>
        <v>0.36524544987925922</v>
      </c>
      <c r="L42" s="1">
        <f t="shared" si="11"/>
        <v>0.292113528476657</v>
      </c>
      <c r="M42" s="1">
        <f t="shared" si="12"/>
        <v>0.2269294219079627</v>
      </c>
      <c r="N42" s="1">
        <f t="shared" si="13"/>
        <v>0.35729763504535128</v>
      </c>
      <c r="O42" s="1">
        <f t="shared" si="14"/>
        <v>0.2223992917090688</v>
      </c>
      <c r="P42" s="1">
        <f t="shared" si="15"/>
        <v>0.3618277652442452</v>
      </c>
    </row>
    <row r="43" spans="1:17" x14ac:dyDescent="0.25">
      <c r="A43" s="1">
        <f t="shared" si="2"/>
        <v>0.28974879610757398</v>
      </c>
      <c r="B43" s="1">
        <f t="shared" si="3"/>
        <v>0.37006751503499902</v>
      </c>
      <c r="C43" s="1">
        <f t="shared" si="0"/>
        <v>0.3292063799458646</v>
      </c>
      <c r="D43" s="1">
        <f t="shared" si="1"/>
        <v>0.41092865012413343</v>
      </c>
      <c r="E43" s="1">
        <f t="shared" si="4"/>
        <v>0.24367862170093402</v>
      </c>
      <c r="F43" s="1">
        <f t="shared" si="5"/>
        <v>0.49645640836906402</v>
      </c>
      <c r="G43" s="1">
        <f t="shared" si="6"/>
        <v>0.34520964103776303</v>
      </c>
      <c r="H43" s="1">
        <f t="shared" si="7"/>
        <v>0.26080264859334162</v>
      </c>
      <c r="I43" s="1">
        <f t="shared" si="8"/>
        <v>0.42961663348218443</v>
      </c>
      <c r="J43" s="1">
        <f t="shared" si="9"/>
        <v>0.24861639642999472</v>
      </c>
      <c r="K43" s="1">
        <f t="shared" si="10"/>
        <v>0.44180288564553133</v>
      </c>
      <c r="L43" s="1">
        <f t="shared" si="11"/>
        <v>0.34271026928685699</v>
      </c>
      <c r="M43" s="1">
        <f t="shared" si="12"/>
        <v>0.25918411710357248</v>
      </c>
      <c r="N43" s="1">
        <f t="shared" si="13"/>
        <v>0.42623642147014151</v>
      </c>
      <c r="O43" s="1">
        <f t="shared" si="14"/>
        <v>0.24687700684203201</v>
      </c>
      <c r="P43" s="1">
        <f t="shared" si="15"/>
        <v>0.43854353173168198</v>
      </c>
    </row>
    <row r="44" spans="1:17" x14ac:dyDescent="0.25">
      <c r="A44" s="1">
        <f t="shared" si="2"/>
        <v>0.33114148126579601</v>
      </c>
      <c r="B44" s="1">
        <f t="shared" si="3"/>
        <v>0.42950303926394001</v>
      </c>
      <c r="C44" s="1">
        <f t="shared" si="0"/>
        <v>0.3444164773134662</v>
      </c>
      <c r="D44" s="1">
        <f t="shared" si="1"/>
        <v>0.51458960121441377</v>
      </c>
      <c r="E44" s="1">
        <f t="shared" si="4"/>
        <v>0.28781300219448303</v>
      </c>
      <c r="F44" s="1">
        <f t="shared" si="5"/>
        <v>0.571193076333397</v>
      </c>
      <c r="G44" s="1">
        <f t="shared" si="6"/>
        <v>0.39678742007832402</v>
      </c>
      <c r="H44" s="1">
        <f t="shared" si="7"/>
        <v>0.29271452844035301</v>
      </c>
      <c r="I44" s="1">
        <f t="shared" si="8"/>
        <v>0.50086031171629497</v>
      </c>
      <c r="J44" s="1">
        <f t="shared" si="9"/>
        <v>0.28443367474262404</v>
      </c>
      <c r="K44" s="1">
        <f t="shared" si="10"/>
        <v>0.50914116541402399</v>
      </c>
      <c r="L44" s="1">
        <f t="shared" si="11"/>
        <v>0.39341010246297298</v>
      </c>
      <c r="M44" s="1">
        <f t="shared" si="12"/>
        <v>0.29035909669455195</v>
      </c>
      <c r="N44" s="1">
        <f t="shared" si="13"/>
        <v>0.496461108231394</v>
      </c>
      <c r="O44" s="1">
        <f t="shared" si="14"/>
        <v>0.28078057972519999</v>
      </c>
      <c r="P44" s="1">
        <f t="shared" si="15"/>
        <v>0.50603962520074597</v>
      </c>
    </row>
    <row r="45" spans="1:17" x14ac:dyDescent="0.25">
      <c r="A45" s="1">
        <f t="shared" si="2"/>
        <v>0.37253416642402998</v>
      </c>
      <c r="B45" s="1">
        <f t="shared" si="3"/>
        <v>0.47739662440674902</v>
      </c>
      <c r="C45" s="1">
        <f t="shared" si="0"/>
        <v>0.326701462877445</v>
      </c>
      <c r="D45" s="1">
        <f t="shared" si="1"/>
        <v>0.62809178593605308</v>
      </c>
      <c r="E45" s="1">
        <f t="shared" si="4"/>
        <v>0.31034953645523999</v>
      </c>
      <c r="F45" s="1">
        <f t="shared" si="5"/>
        <v>0.64444371235825804</v>
      </c>
      <c r="G45" s="1">
        <f t="shared" si="6"/>
        <v>0.44533521281233002</v>
      </c>
      <c r="H45" s="1">
        <f t="shared" si="7"/>
        <v>0.32087717578844799</v>
      </c>
      <c r="I45" s="1">
        <f t="shared" si="8"/>
        <v>0.56979324983621205</v>
      </c>
      <c r="J45" s="1">
        <f t="shared" si="9"/>
        <v>0.30631655781112199</v>
      </c>
      <c r="K45" s="1">
        <f t="shared" si="10"/>
        <v>0.58435386781353804</v>
      </c>
      <c r="L45" s="1">
        <f t="shared" si="11"/>
        <v>0.44130304938655102</v>
      </c>
      <c r="M45" s="1">
        <f t="shared" si="12"/>
        <v>0.31615894822706403</v>
      </c>
      <c r="N45" s="1">
        <f t="shared" si="13"/>
        <v>0.566447150546038</v>
      </c>
      <c r="O45" s="1">
        <f t="shared" si="14"/>
        <v>0.30315440194754401</v>
      </c>
      <c r="P45" s="1">
        <f t="shared" si="15"/>
        <v>0.57945169682555808</v>
      </c>
    </row>
    <row r="46" spans="1:17" x14ac:dyDescent="0.25">
      <c r="A46" s="1">
        <f t="shared" si="2"/>
        <v>0.41392685158224601</v>
      </c>
      <c r="B46" s="1">
        <f t="shared" si="3"/>
        <v>0.52767620592101705</v>
      </c>
      <c r="C46" s="1">
        <f t="shared" si="0"/>
        <v>0.30966317956502909</v>
      </c>
      <c r="D46" s="1">
        <f t="shared" si="1"/>
        <v>0.74568923227700501</v>
      </c>
      <c r="E46" s="1">
        <f t="shared" si="4"/>
        <v>0.34850017598557803</v>
      </c>
      <c r="F46" s="1">
        <f t="shared" si="5"/>
        <v>0.70685223585645607</v>
      </c>
      <c r="G46" s="1">
        <f t="shared" si="6"/>
        <v>0.50251078738570698</v>
      </c>
      <c r="H46" s="1">
        <f t="shared" si="7"/>
        <v>0.35128209908944197</v>
      </c>
      <c r="I46" s="1">
        <f t="shared" si="8"/>
        <v>0.65373947568197199</v>
      </c>
      <c r="J46" s="1">
        <f t="shared" si="9"/>
        <v>0.30868286909265197</v>
      </c>
      <c r="K46" s="1">
        <f t="shared" si="10"/>
        <v>0.69633870567876199</v>
      </c>
      <c r="L46" s="1">
        <f t="shared" si="11"/>
        <v>0.49520474814834903</v>
      </c>
      <c r="M46" s="1">
        <f t="shared" si="12"/>
        <v>0.34535135467953704</v>
      </c>
      <c r="N46" s="1">
        <f t="shared" si="13"/>
        <v>0.64505814161716102</v>
      </c>
      <c r="O46" s="1">
        <f t="shared" si="14"/>
        <v>0.32578012532592104</v>
      </c>
      <c r="P46" s="1">
        <f t="shared" si="15"/>
        <v>0.66462937097077701</v>
      </c>
    </row>
    <row r="47" spans="1:17" x14ac:dyDescent="0.25">
      <c r="A47" s="1">
        <f t="shared" si="2"/>
        <v>0.45531953674048498</v>
      </c>
      <c r="B47" s="1">
        <f t="shared" si="3"/>
        <v>0.55855145309999199</v>
      </c>
      <c r="C47" s="1">
        <f t="shared" si="0"/>
        <v>0.23740244138286898</v>
      </c>
      <c r="D47" s="1">
        <f t="shared" si="1"/>
        <v>0.87970046481711495</v>
      </c>
      <c r="E47" s="1">
        <f t="shared" si="4"/>
        <v>0.37335845069958495</v>
      </c>
      <c r="F47" s="1">
        <f t="shared" si="5"/>
        <v>0.74374445550039903</v>
      </c>
      <c r="G47" s="1">
        <f t="shared" si="6"/>
        <v>0.54081386947027199</v>
      </c>
      <c r="H47" s="1">
        <f t="shared" si="7"/>
        <v>0.36993991771894796</v>
      </c>
      <c r="I47" s="1">
        <f t="shared" si="8"/>
        <v>0.71168782122159602</v>
      </c>
      <c r="J47" s="1">
        <f t="shared" si="9"/>
        <v>0.28753739751949298</v>
      </c>
      <c r="K47" s="1">
        <f t="shared" si="10"/>
        <v>0.79409034142105095</v>
      </c>
      <c r="L47" s="1">
        <f t="shared" si="11"/>
        <v>0.53071355056342695</v>
      </c>
      <c r="M47" s="1">
        <f t="shared" si="12"/>
        <v>0.36637837207959295</v>
      </c>
      <c r="N47" s="1">
        <f t="shared" si="13"/>
        <v>0.69504872904726089</v>
      </c>
      <c r="O47" s="1">
        <f t="shared" si="14"/>
        <v>0.35158680468171094</v>
      </c>
      <c r="P47" s="1">
        <f t="shared" si="15"/>
        <v>0.7098402964451429</v>
      </c>
    </row>
    <row r="48" spans="1:17" x14ac:dyDescent="0.25">
      <c r="A48" s="1">
        <f t="shared" si="2"/>
        <v>0.49671222189869302</v>
      </c>
      <c r="B48" s="1">
        <f t="shared" si="3"/>
        <v>0.61492408705260804</v>
      </c>
      <c r="C48" s="1">
        <f t="shared" si="0"/>
        <v>0.18836614170403104</v>
      </c>
      <c r="D48" s="1">
        <f t="shared" si="1"/>
        <v>1.0414820324011851</v>
      </c>
      <c r="E48" s="1">
        <f t="shared" si="4"/>
        <v>0.41828326498104806</v>
      </c>
      <c r="F48" s="1">
        <f t="shared" si="5"/>
        <v>0.81156490912416801</v>
      </c>
      <c r="G48" s="1">
        <f t="shared" si="6"/>
        <v>0.60488980835176298</v>
      </c>
      <c r="H48" s="1">
        <f t="shared" si="7"/>
        <v>0.40496812625907497</v>
      </c>
      <c r="I48" s="1">
        <f t="shared" si="8"/>
        <v>0.80481149044445099</v>
      </c>
      <c r="J48" s="1">
        <f t="shared" si="9"/>
        <v>0.37255639956689401</v>
      </c>
      <c r="K48" s="1">
        <f t="shared" si="10"/>
        <v>0.83722321713663195</v>
      </c>
      <c r="L48" s="1">
        <f t="shared" si="11"/>
        <v>0.59529934179212696</v>
      </c>
      <c r="M48" s="1">
        <f t="shared" si="12"/>
        <v>0.39963632676810595</v>
      </c>
      <c r="N48" s="1">
        <f t="shared" si="13"/>
        <v>0.7909623568161479</v>
      </c>
      <c r="O48" s="1">
        <f t="shared" si="14"/>
        <v>0.38750196416126592</v>
      </c>
      <c r="P48" s="1">
        <f t="shared" si="15"/>
        <v>0.80309671942298799</v>
      </c>
    </row>
    <row r="49" spans="1:16" x14ac:dyDescent="0.25">
      <c r="A49" s="1">
        <f t="shared" si="2"/>
        <v>0.53810490705693204</v>
      </c>
      <c r="B49" s="1">
        <f t="shared" si="3"/>
        <v>0.65101766791879401</v>
      </c>
      <c r="C49" s="1">
        <f t="shared" si="0"/>
        <v>0.11633226560161403</v>
      </c>
      <c r="D49" s="1">
        <f t="shared" si="1"/>
        <v>1.1857030702359741</v>
      </c>
      <c r="E49" s="1">
        <f t="shared" si="4"/>
        <v>0.446572984333239</v>
      </c>
      <c r="F49" s="1">
        <f t="shared" si="5"/>
        <v>0.85546235150434902</v>
      </c>
      <c r="G49" s="1">
        <f t="shared" si="6"/>
        <v>0.66605404514021305</v>
      </c>
      <c r="H49" s="1">
        <f t="shared" si="7"/>
        <v>0.43362709177905601</v>
      </c>
      <c r="I49" s="1">
        <f t="shared" si="8"/>
        <v>0.89848099850137009</v>
      </c>
      <c r="J49" s="1">
        <f t="shared" si="9"/>
        <v>0.39264509803571906</v>
      </c>
      <c r="K49" s="1">
        <f t="shared" si="10"/>
        <v>0.93946299224470708</v>
      </c>
      <c r="L49" s="1">
        <f t="shared" si="11"/>
        <v>0.65359462783240296</v>
      </c>
      <c r="M49" s="1">
        <f t="shared" si="12"/>
        <v>0.42971171521044893</v>
      </c>
      <c r="N49" s="1">
        <f t="shared" si="13"/>
        <v>0.877477540454357</v>
      </c>
      <c r="O49" s="1">
        <f t="shared" si="14"/>
        <v>0.41573986502791493</v>
      </c>
      <c r="P49" s="1">
        <f t="shared" si="15"/>
        <v>0.89144939063689099</v>
      </c>
    </row>
    <row r="50" spans="1:16" x14ac:dyDescent="0.25">
      <c r="A50" s="1">
        <f t="shared" si="2"/>
        <v>0.57949759221514796</v>
      </c>
      <c r="B50" s="1">
        <f t="shared" si="3"/>
        <v>0.68210990301806196</v>
      </c>
      <c r="C50" s="1">
        <f t="shared" si="0"/>
        <v>-8.8193151015003024E-2</v>
      </c>
      <c r="D50" s="1">
        <f t="shared" si="1"/>
        <v>1.4524129570511271</v>
      </c>
      <c r="E50" s="1">
        <f t="shared" si="4"/>
        <v>0.47306303006065697</v>
      </c>
      <c r="F50" s="1">
        <f t="shared" si="5"/>
        <v>0.89115677597546694</v>
      </c>
      <c r="G50" s="1">
        <f t="shared" si="6"/>
        <v>0.72355832282682397</v>
      </c>
      <c r="H50" s="1">
        <f t="shared" si="7"/>
        <v>0.45620167690267399</v>
      </c>
      <c r="I50" s="1">
        <f t="shared" si="8"/>
        <v>0.99091496875097396</v>
      </c>
      <c r="J50" s="1">
        <f t="shared" si="9"/>
        <v>0.37242359067116998</v>
      </c>
      <c r="K50" s="1">
        <f t="shared" si="10"/>
        <v>1.074693054982478</v>
      </c>
      <c r="L50" s="1">
        <f t="shared" si="11"/>
        <v>0.70020803159204803</v>
      </c>
      <c r="M50" s="1">
        <f t="shared" si="12"/>
        <v>0.44957402721176304</v>
      </c>
      <c r="N50" s="1">
        <f t="shared" si="13"/>
        <v>0.95084203597233308</v>
      </c>
      <c r="O50" s="1">
        <f t="shared" si="14"/>
        <v>0.44661126243261701</v>
      </c>
      <c r="P50" s="1">
        <f t="shared" si="15"/>
        <v>0.953804800751479</v>
      </c>
    </row>
    <row r="51" spans="1:16" x14ac:dyDescent="0.25">
      <c r="A51" s="1">
        <f t="shared" si="2"/>
        <v>0.62089027737336999</v>
      </c>
      <c r="B51" s="1">
        <f t="shared" si="3"/>
        <v>0.70901860850228804</v>
      </c>
      <c r="C51" s="1">
        <f t="shared" si="0"/>
        <v>-0.226102722076997</v>
      </c>
      <c r="D51" s="1">
        <f t="shared" si="1"/>
        <v>1.644139939081573</v>
      </c>
      <c r="E51" s="1">
        <f t="shared" si="4"/>
        <v>0.49454666396753505</v>
      </c>
      <c r="F51" s="1">
        <f t="shared" si="5"/>
        <v>0.92349055303704097</v>
      </c>
      <c r="G51" s="1">
        <f t="shared" si="6"/>
        <v>0.76489761316183702</v>
      </c>
      <c r="H51" s="1">
        <f t="shared" si="7"/>
        <v>0.472502841056328</v>
      </c>
      <c r="I51" s="1">
        <f t="shared" si="8"/>
        <v>1.0572923852673459</v>
      </c>
      <c r="J51" s="1">
        <f t="shared" si="9"/>
        <v>0.37121569539910704</v>
      </c>
      <c r="K51" s="1">
        <f t="shared" si="10"/>
        <v>1.158579530924567</v>
      </c>
      <c r="L51" s="1">
        <f t="shared" si="11"/>
        <v>0.73709077214687801</v>
      </c>
      <c r="M51" s="1">
        <f t="shared" si="12"/>
        <v>0.47677572554318004</v>
      </c>
      <c r="N51" s="1">
        <f t="shared" si="13"/>
        <v>0.99740581875057599</v>
      </c>
      <c r="O51" s="1">
        <f t="shared" si="14"/>
        <v>0.46826880958809403</v>
      </c>
      <c r="P51" s="1">
        <f t="shared" si="15"/>
        <v>1.005912734705662</v>
      </c>
    </row>
    <row r="52" spans="1:16" x14ac:dyDescent="0.25">
      <c r="A52" s="1">
        <f t="shared" si="2"/>
        <v>0.66228296253159202</v>
      </c>
      <c r="B52" s="1">
        <f t="shared" si="3"/>
        <v>0.73295824689969202</v>
      </c>
      <c r="C52" s="1">
        <f t="shared" si="0"/>
        <v>-0.30817922663271791</v>
      </c>
      <c r="D52" s="1">
        <f t="shared" si="1"/>
        <v>1.774095720432102</v>
      </c>
      <c r="E52" s="1">
        <f t="shared" si="4"/>
        <v>0.51628207293736905</v>
      </c>
      <c r="F52" s="1">
        <f t="shared" si="5"/>
        <v>0.94963442086201499</v>
      </c>
      <c r="G52" s="1">
        <f t="shared" si="6"/>
        <v>0.84368751452652102</v>
      </c>
      <c r="H52" s="1">
        <f t="shared" si="7"/>
        <v>0.502610087569616</v>
      </c>
      <c r="I52" s="1">
        <f t="shared" si="8"/>
        <v>1.184764941483426</v>
      </c>
      <c r="J52" s="1">
        <f t="shared" si="9"/>
        <v>0.39608899056406605</v>
      </c>
      <c r="K52" s="1">
        <f t="shared" si="10"/>
        <v>1.2912860384889759</v>
      </c>
      <c r="L52" s="1">
        <f t="shared" si="11"/>
        <v>0.79879116925252902</v>
      </c>
      <c r="M52" s="1">
        <f t="shared" si="12"/>
        <v>0.51328791142838104</v>
      </c>
      <c r="N52" s="1">
        <f t="shared" si="13"/>
        <v>1.084294427076677</v>
      </c>
      <c r="O52" s="1">
        <f t="shared" si="14"/>
        <v>0.50959017948873897</v>
      </c>
      <c r="P52" s="1">
        <f t="shared" si="15"/>
        <v>1.0879921590163191</v>
      </c>
    </row>
    <row r="53" spans="1:16" x14ac:dyDescent="0.25">
      <c r="A53" s="1">
        <f t="shared" si="2"/>
        <v>0.70367564768981405</v>
      </c>
      <c r="B53" s="1">
        <f t="shared" si="3"/>
        <v>0.76356525208330595</v>
      </c>
      <c r="C53" s="1">
        <f t="shared" si="0"/>
        <v>-0.43688397707673399</v>
      </c>
      <c r="D53" s="1">
        <f t="shared" si="1"/>
        <v>1.9640144812433458</v>
      </c>
      <c r="E53" s="1">
        <f t="shared" si="4"/>
        <v>0.54350668347004394</v>
      </c>
      <c r="F53" s="1">
        <f t="shared" si="5"/>
        <v>0.98362382069656795</v>
      </c>
      <c r="G53" s="1">
        <f t="shared" si="6"/>
        <v>0.89253200971754199</v>
      </c>
      <c r="H53" s="1">
        <f t="shared" si="7"/>
        <v>0.52622670515360803</v>
      </c>
      <c r="I53" s="1">
        <f t="shared" si="8"/>
        <v>1.2588373142814759</v>
      </c>
      <c r="J53" s="1">
        <f t="shared" si="9"/>
        <v>0.47206246204401098</v>
      </c>
      <c r="K53" s="1">
        <f t="shared" si="10"/>
        <v>1.3130015573910729</v>
      </c>
      <c r="L53" s="1">
        <f t="shared" si="11"/>
        <v>0.85006819083513796</v>
      </c>
      <c r="M53" s="1">
        <f t="shared" si="12"/>
        <v>0.54415914080299399</v>
      </c>
      <c r="N53" s="1">
        <f t="shared" si="13"/>
        <v>1.1559772408672819</v>
      </c>
      <c r="O53" s="1">
        <f t="shared" si="14"/>
        <v>0.5514312617654209</v>
      </c>
      <c r="P53" s="1">
        <f t="shared" si="15"/>
        <v>1.148705119904855</v>
      </c>
    </row>
    <row r="54" spans="1:16" x14ac:dyDescent="0.25">
      <c r="A54" s="1">
        <f t="shared" si="2"/>
        <v>0.74506833284806095</v>
      </c>
      <c r="B54" s="1">
        <f t="shared" si="3"/>
        <v>0.77233541093678404</v>
      </c>
      <c r="C54" s="1">
        <f t="shared" si="0"/>
        <v>-0.48828849286919607</v>
      </c>
      <c r="D54" s="1">
        <f t="shared" si="1"/>
        <v>2.0329593147427643</v>
      </c>
      <c r="E54" s="1">
        <f t="shared" si="4"/>
        <v>0.56919600209005905</v>
      </c>
      <c r="F54" s="1">
        <f t="shared" si="5"/>
        <v>0.97547481978350903</v>
      </c>
      <c r="G54" s="1">
        <f t="shared" si="6"/>
        <v>0.96022124079525395</v>
      </c>
      <c r="H54" s="1">
        <f t="shared" si="7"/>
        <v>0.54528284500507895</v>
      </c>
      <c r="I54" s="1">
        <f t="shared" si="8"/>
        <v>1.3751596365854288</v>
      </c>
      <c r="J54" s="1">
        <f t="shared" si="9"/>
        <v>0.4472288326207059</v>
      </c>
      <c r="K54" s="1">
        <f t="shared" si="10"/>
        <v>1.473213648969802</v>
      </c>
      <c r="L54" s="1">
        <f t="shared" si="11"/>
        <v>0.89233170513827098</v>
      </c>
      <c r="M54" s="1">
        <f t="shared" si="12"/>
        <v>0.57202938946386306</v>
      </c>
      <c r="N54" s="1">
        <f t="shared" si="13"/>
        <v>1.2126340208126789</v>
      </c>
      <c r="O54" s="1">
        <f t="shared" si="14"/>
        <v>0.59258716875726392</v>
      </c>
      <c r="P54" s="1">
        <f t="shared" si="15"/>
        <v>1.192076241519278</v>
      </c>
    </row>
    <row r="55" spans="1:16" x14ac:dyDescent="0.25">
      <c r="A55" s="1">
        <f t="shared" si="2"/>
        <v>0.78646101800628598</v>
      </c>
      <c r="B55" s="1">
        <f t="shared" si="3"/>
        <v>0.77827988675578097</v>
      </c>
      <c r="C55" s="1">
        <f t="shared" si="0"/>
        <v>-0.72778326671676896</v>
      </c>
      <c r="D55" s="1">
        <f t="shared" si="1"/>
        <v>2.2843430402283307</v>
      </c>
      <c r="E55" s="1">
        <f t="shared" si="4"/>
        <v>0.55939750689190704</v>
      </c>
      <c r="F55" s="1">
        <f t="shared" si="5"/>
        <v>0.9971622666196549</v>
      </c>
      <c r="G55" s="1">
        <f t="shared" si="6"/>
        <v>1.0287812458090499</v>
      </c>
      <c r="H55" s="1">
        <f t="shared" si="7"/>
        <v>0.5521186473305959</v>
      </c>
      <c r="I55" s="1">
        <f t="shared" si="8"/>
        <v>1.505443844287504</v>
      </c>
      <c r="J55" s="1">
        <f t="shared" si="9"/>
        <v>0.35182275647177297</v>
      </c>
      <c r="K55" s="1">
        <f t="shared" si="10"/>
        <v>1.7057397351463268</v>
      </c>
      <c r="L55" s="1">
        <f t="shared" si="11"/>
        <v>0.91579703464074602</v>
      </c>
      <c r="M55" s="1">
        <f t="shared" si="12"/>
        <v>0.584538605243763</v>
      </c>
      <c r="N55" s="1">
        <f t="shared" si="13"/>
        <v>1.2470554640377292</v>
      </c>
      <c r="O55" s="1">
        <f t="shared" si="14"/>
        <v>0.60852479124735404</v>
      </c>
      <c r="P55" s="1">
        <f t="shared" si="15"/>
        <v>1.2230692780341381</v>
      </c>
    </row>
    <row r="56" spans="1:16" x14ac:dyDescent="0.25">
      <c r="A56" s="1">
        <f t="shared" si="2"/>
        <v>0.82785370316449203</v>
      </c>
      <c r="B56" s="1">
        <f t="shared" si="3"/>
        <v>0.78966325526627401</v>
      </c>
      <c r="C56" s="1">
        <f t="shared" si="0"/>
        <v>-0.8406020443805361</v>
      </c>
      <c r="D56" s="1">
        <f t="shared" si="1"/>
        <v>2.419928554913084</v>
      </c>
      <c r="E56" s="1">
        <f t="shared" si="4"/>
        <v>0.55116282733648303</v>
      </c>
      <c r="F56" s="1">
        <f t="shared" si="5"/>
        <v>1.028163683196065</v>
      </c>
      <c r="G56" s="1">
        <f t="shared" si="6"/>
        <v>1.09624600574013</v>
      </c>
      <c r="H56" s="1">
        <f t="shared" si="7"/>
        <v>0.57778166424366095</v>
      </c>
      <c r="I56" s="1">
        <f t="shared" si="8"/>
        <v>1.6147103472365991</v>
      </c>
      <c r="J56" s="1">
        <f t="shared" si="9"/>
        <v>0.430473387376897</v>
      </c>
      <c r="K56" s="1">
        <f t="shared" si="10"/>
        <v>1.7620186241033631</v>
      </c>
      <c r="L56" s="1">
        <f t="shared" si="11"/>
        <v>0.96482465362322301</v>
      </c>
      <c r="M56" s="1">
        <f t="shared" si="12"/>
        <v>0.62310594393391594</v>
      </c>
      <c r="N56" s="1">
        <f t="shared" si="13"/>
        <v>1.3065433633125301</v>
      </c>
      <c r="O56" s="1">
        <f t="shared" si="14"/>
        <v>0.64527027724942099</v>
      </c>
      <c r="P56" s="1">
        <f t="shared" si="15"/>
        <v>1.284379029997025</v>
      </c>
    </row>
    <row r="57" spans="1:16" x14ac:dyDescent="0.25">
      <c r="A57" s="1">
        <f t="shared" si="2"/>
        <v>0.86924638832272205</v>
      </c>
      <c r="B57" s="1">
        <f t="shared" si="3"/>
        <v>0.85609990623905796</v>
      </c>
      <c r="C57" s="1">
        <f t="shared" si="0"/>
        <v>-1.3323176179030622</v>
      </c>
      <c r="D57" s="1">
        <f t="shared" si="1"/>
        <v>3.0445174303811782</v>
      </c>
      <c r="E57" s="1">
        <f t="shared" si="4"/>
        <v>0.61280833952861902</v>
      </c>
      <c r="F57" s="1">
        <f t="shared" si="5"/>
        <v>1.0993914729494969</v>
      </c>
      <c r="G57" s="1">
        <f t="shared" si="6"/>
        <v>1.1677072505106501</v>
      </c>
      <c r="H57" s="1">
        <f t="shared" si="7"/>
        <v>0.59012679053317307</v>
      </c>
      <c r="I57" s="1">
        <f t="shared" si="8"/>
        <v>1.745287710488127</v>
      </c>
      <c r="J57" s="1">
        <f t="shared" si="9"/>
        <v>0.40263182913017503</v>
      </c>
      <c r="K57" s="1">
        <f t="shared" si="10"/>
        <v>1.932782671891125</v>
      </c>
      <c r="L57" s="1">
        <f t="shared" si="11"/>
        <v>1.0042566818939</v>
      </c>
      <c r="M57" s="1">
        <f t="shared" si="12"/>
        <v>0.64817591700719612</v>
      </c>
      <c r="N57" s="1">
        <f t="shared" si="13"/>
        <v>1.360337446780604</v>
      </c>
      <c r="O57" s="1">
        <f t="shared" si="14"/>
        <v>0.69281346167182001</v>
      </c>
      <c r="P57" s="1">
        <f t="shared" si="15"/>
        <v>1.3156999021159801</v>
      </c>
    </row>
    <row r="58" spans="1:16" x14ac:dyDescent="0.25">
      <c r="A58" s="1">
        <f t="shared" si="2"/>
        <v>0.91063907348097095</v>
      </c>
      <c r="B58" s="1">
        <f t="shared" si="3"/>
        <v>0.86848661351393397</v>
      </c>
      <c r="C58" s="1">
        <f t="shared" si="0"/>
        <v>-1.1403779676375259</v>
      </c>
      <c r="D58" s="1">
        <f t="shared" si="1"/>
        <v>2.877351194665394</v>
      </c>
      <c r="E58" s="1">
        <f t="shared" si="4"/>
        <v>0.65214298287373296</v>
      </c>
      <c r="F58" s="1">
        <f t="shared" si="5"/>
        <v>1.0848302441541349</v>
      </c>
      <c r="G58" s="1">
        <f t="shared" si="6"/>
        <v>1.1923709998494001</v>
      </c>
      <c r="H58" s="1">
        <f t="shared" si="7"/>
        <v>0.60374122405098407</v>
      </c>
      <c r="I58" s="1">
        <f t="shared" si="8"/>
        <v>1.7810007756478161</v>
      </c>
      <c r="J58" s="1">
        <f t="shared" si="9"/>
        <v>0.46645290447339505</v>
      </c>
      <c r="K58" s="1">
        <f t="shared" si="10"/>
        <v>1.918289095225405</v>
      </c>
      <c r="L58" s="1">
        <f t="shared" si="11"/>
        <v>1.0238276780534501</v>
      </c>
      <c r="M58" s="1">
        <f t="shared" si="12"/>
        <v>0.66626288685757307</v>
      </c>
      <c r="N58" s="1">
        <f t="shared" si="13"/>
        <v>1.3813924692493271</v>
      </c>
      <c r="O58" s="1">
        <f t="shared" si="14"/>
        <v>0.71550753481753504</v>
      </c>
      <c r="P58" s="1">
        <f t="shared" si="15"/>
        <v>1.3321478212893652</v>
      </c>
    </row>
    <row r="59" spans="1:16" x14ac:dyDescent="0.25">
      <c r="A59" s="1">
        <f t="shared" si="2"/>
        <v>0.95203175863915301</v>
      </c>
      <c r="B59" s="1">
        <f t="shared" si="3"/>
        <v>0.89964629456896394</v>
      </c>
      <c r="C59" s="1">
        <f t="shared" si="0"/>
        <v>-1.4173936047311559</v>
      </c>
      <c r="D59" s="1">
        <f t="shared" si="1"/>
        <v>3.2166861938690841</v>
      </c>
      <c r="E59" s="1">
        <f t="shared" si="4"/>
        <v>0.707788266827589</v>
      </c>
      <c r="F59" s="1">
        <f t="shared" si="5"/>
        <v>1.0915043223103389</v>
      </c>
      <c r="G59" s="1">
        <f t="shared" si="6"/>
        <v>1.2931276137876699</v>
      </c>
      <c r="H59" s="1">
        <f t="shared" si="7"/>
        <v>0.62022793489925099</v>
      </c>
      <c r="I59" s="1">
        <f t="shared" si="8"/>
        <v>1.9660272926760889</v>
      </c>
      <c r="J59" s="1">
        <f t="shared" si="9"/>
        <v>0.45635173264665596</v>
      </c>
      <c r="K59" s="1">
        <f t="shared" si="10"/>
        <v>2.1299034949286839</v>
      </c>
      <c r="L59" s="1">
        <f t="shared" si="11"/>
        <v>1.06780295868138</v>
      </c>
      <c r="M59" s="1">
        <f t="shared" si="12"/>
        <v>0.68643270191278694</v>
      </c>
      <c r="N59" s="1">
        <f t="shared" si="13"/>
        <v>1.449173215449973</v>
      </c>
      <c r="O59" s="1">
        <f t="shared" si="14"/>
        <v>0.76390593859629796</v>
      </c>
      <c r="P59" s="1">
        <f t="shared" si="15"/>
        <v>1.3716999787664621</v>
      </c>
    </row>
    <row r="60" spans="1:16" x14ac:dyDescent="0.25">
      <c r="A60" s="1">
        <f t="shared" si="2"/>
        <v>0.99342444379738704</v>
      </c>
      <c r="B60" s="1">
        <f t="shared" si="3"/>
        <v>0.89461190481729902</v>
      </c>
      <c r="C60" s="1">
        <f t="shared" si="0"/>
        <v>-1.4495922386920408</v>
      </c>
      <c r="D60" s="1">
        <f t="shared" si="1"/>
        <v>3.2388160483266391</v>
      </c>
      <c r="E60" s="1">
        <f t="shared" si="4"/>
        <v>0.71436329537657706</v>
      </c>
      <c r="F60" s="1">
        <f t="shared" si="5"/>
        <v>1.074860514258021</v>
      </c>
      <c r="G60" s="1">
        <f t="shared" si="6"/>
        <v>1.3861838786543299</v>
      </c>
      <c r="H60" s="1">
        <f t="shared" si="7"/>
        <v>0.63226713633508091</v>
      </c>
      <c r="I60" s="1">
        <f t="shared" si="8"/>
        <v>2.1401006209735787</v>
      </c>
      <c r="J60" s="1">
        <f t="shared" si="9"/>
        <v>0.45073823913314992</v>
      </c>
      <c r="K60" s="1">
        <f t="shared" si="10"/>
        <v>2.3216295181755098</v>
      </c>
      <c r="L60" s="1">
        <f t="shared" si="11"/>
        <v>1.1054738396475501</v>
      </c>
      <c r="M60" s="1">
        <f t="shared" si="12"/>
        <v>0.7274680067039081</v>
      </c>
      <c r="N60" s="1">
        <f t="shared" si="13"/>
        <v>1.4834796725911921</v>
      </c>
      <c r="O60" s="1">
        <f t="shared" si="14"/>
        <v>0.80630287612684004</v>
      </c>
      <c r="P60" s="1">
        <f t="shared" si="15"/>
        <v>1.4046448031682601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tabSelected="1" zoomScaleNormal="100" workbookViewId="0">
      <selection activeCell="H19" sqref="H19"/>
    </sheetView>
  </sheetViews>
  <sheetFormatPr defaultColWidth="10.7109375" defaultRowHeight="15" x14ac:dyDescent="0.25"/>
  <cols>
    <col min="1" max="1" width="10.7109375" style="5"/>
    <col min="2" max="2" width="10.7109375" style="5" customWidth="1"/>
    <col min="3" max="16384" width="10.7109375" style="5"/>
  </cols>
  <sheetData>
    <row r="1" spans="1:17" x14ac:dyDescent="0.25">
      <c r="A1" s="5" t="s">
        <v>0</v>
      </c>
      <c r="B1" s="12">
        <v>512</v>
      </c>
      <c r="C1" s="12"/>
    </row>
    <row r="2" spans="1:17" x14ac:dyDescent="0.25">
      <c r="A2" s="5" t="s">
        <v>1</v>
      </c>
      <c r="B2" s="12">
        <v>1000</v>
      </c>
      <c r="C2" s="12"/>
    </row>
    <row r="3" spans="1:17" x14ac:dyDescent="0.25">
      <c r="A3" s="5" t="s">
        <v>2</v>
      </c>
      <c r="B3" s="12">
        <v>1</v>
      </c>
      <c r="C3" s="12"/>
    </row>
    <row r="4" spans="1:17" x14ac:dyDescent="0.25">
      <c r="A4" s="5" t="s">
        <v>3</v>
      </c>
      <c r="B4" s="12">
        <v>10</v>
      </c>
      <c r="C4" s="12"/>
    </row>
    <row r="5" spans="1:17" x14ac:dyDescent="0.25">
      <c r="A5" s="5" t="s">
        <v>4</v>
      </c>
      <c r="B5" s="13">
        <v>1.1000000000000001</v>
      </c>
      <c r="C5" s="13"/>
    </row>
    <row r="6" spans="1:17" x14ac:dyDescent="0.25">
      <c r="A6" s="5" t="s">
        <v>5</v>
      </c>
      <c r="B6" s="13">
        <v>5.5100000000000003E-2</v>
      </c>
      <c r="C6" s="13"/>
    </row>
    <row r="7" spans="1:17" x14ac:dyDescent="0.25">
      <c r="A7" s="5" t="s">
        <v>6</v>
      </c>
      <c r="B7" s="11">
        <v>2.71828182845904E+17</v>
      </c>
      <c r="C7" s="11"/>
    </row>
    <row r="10" spans="1:17" x14ac:dyDescent="0.25">
      <c r="A10" t="s">
        <v>7</v>
      </c>
      <c r="B10" t="s">
        <v>35</v>
      </c>
      <c r="C10" t="s">
        <v>9</v>
      </c>
      <c r="D10" t="s">
        <v>36</v>
      </c>
      <c r="E10" t="s">
        <v>10</v>
      </c>
      <c r="F10" t="s">
        <v>11</v>
      </c>
      <c r="G10" t="s">
        <v>12</v>
      </c>
      <c r="H10" t="s">
        <v>37</v>
      </c>
      <c r="I10" t="s">
        <v>13</v>
      </c>
      <c r="J10" t="s">
        <v>14</v>
      </c>
      <c r="K10" t="s">
        <v>15</v>
      </c>
      <c r="L10" t="s">
        <v>38</v>
      </c>
      <c r="M10" t="s">
        <v>16</v>
      </c>
      <c r="N10" t="s">
        <v>17</v>
      </c>
      <c r="O10" s="4" t="s">
        <v>33</v>
      </c>
      <c r="P10" s="4" t="s">
        <v>34</v>
      </c>
      <c r="Q10" s="1" t="s">
        <v>39</v>
      </c>
    </row>
    <row r="11" spans="1:17" x14ac:dyDescent="0.25">
      <c r="A11">
        <v>1.1000000000000001</v>
      </c>
      <c r="B11">
        <v>4.1392685158224501E-2</v>
      </c>
      <c r="C11">
        <v>1.30216571493341</v>
      </c>
      <c r="D11">
        <v>0.11466603246106601</v>
      </c>
      <c r="E11" s="7">
        <v>9.7501156676486398E-7</v>
      </c>
      <c r="F11" s="7">
        <v>4.4009979462518098E-4</v>
      </c>
      <c r="G11">
        <v>1.16780795899595</v>
      </c>
      <c r="H11">
        <v>6.7324292977164205E-2</v>
      </c>
      <c r="I11">
        <v>5.0122806980113198E-3</v>
      </c>
      <c r="J11">
        <v>6.3929664148615504E-3</v>
      </c>
      <c r="K11">
        <v>1.33099999999998</v>
      </c>
      <c r="L11">
        <v>0.124178055474673</v>
      </c>
      <c r="M11">
        <v>1.25118890493246E-2</v>
      </c>
      <c r="N11" s="7">
        <v>1.8466693440605099E-15</v>
      </c>
      <c r="O11">
        <v>1000</v>
      </c>
      <c r="P11">
        <v>0</v>
      </c>
      <c r="Q11">
        <v>0</v>
      </c>
    </row>
    <row r="12" spans="1:17" x14ac:dyDescent="0.25">
      <c r="A12">
        <v>1.21000000000001</v>
      </c>
      <c r="B12">
        <v>8.2785370316449003E-2</v>
      </c>
      <c r="C12">
        <v>1.32333132989053</v>
      </c>
      <c r="D12">
        <v>0.121547359125191</v>
      </c>
      <c r="E12" s="7">
        <v>1.6221063669952501E-6</v>
      </c>
      <c r="F12">
        <v>1.0171394682713599E-2</v>
      </c>
      <c r="G12">
        <v>1.3080071660928201</v>
      </c>
      <c r="H12">
        <v>0.11642053305747301</v>
      </c>
      <c r="I12">
        <v>1.14109594362552E-2</v>
      </c>
      <c r="J12">
        <v>1.28114228849984E-2</v>
      </c>
      <c r="K12">
        <v>1.3368563999999801</v>
      </c>
      <c r="L12">
        <v>0.12599933362163501</v>
      </c>
      <c r="M12">
        <v>1.2808898164797E-2</v>
      </c>
      <c r="N12">
        <v>8.4936848019964602E-3</v>
      </c>
      <c r="O12">
        <v>1000</v>
      </c>
      <c r="P12">
        <v>0</v>
      </c>
      <c r="Q12">
        <v>0</v>
      </c>
    </row>
    <row r="13" spans="1:17" x14ac:dyDescent="0.25">
      <c r="A13">
        <v>1.33099999999998</v>
      </c>
      <c r="B13">
        <v>0.124178055474673</v>
      </c>
      <c r="C13">
        <v>1.4659215099963601</v>
      </c>
      <c r="D13">
        <v>0.16520193578064901</v>
      </c>
      <c r="E13" s="7">
        <v>2.3805871698336198E-6</v>
      </c>
      <c r="F13">
        <v>2.76925941360158E-2</v>
      </c>
      <c r="G13">
        <v>1.46018400625394</v>
      </c>
      <c r="H13">
        <v>0.16386756813489201</v>
      </c>
      <c r="I13">
        <v>1.90910312421264E-2</v>
      </c>
      <c r="J13">
        <v>2.15349869854068E-2</v>
      </c>
      <c r="K13">
        <v>1.4720247739999801</v>
      </c>
      <c r="L13">
        <v>0.16722644803922701</v>
      </c>
      <c r="M13">
        <v>1.9706405246582698E-2</v>
      </c>
      <c r="N13">
        <v>2.4374167860402599E-2</v>
      </c>
      <c r="O13">
        <v>1000</v>
      </c>
      <c r="P13">
        <v>0</v>
      </c>
      <c r="Q13">
        <v>0</v>
      </c>
    </row>
    <row r="14" spans="1:17" x14ac:dyDescent="0.25">
      <c r="A14">
        <v>1.46409999999998</v>
      </c>
      <c r="B14">
        <v>0.16557074063289801</v>
      </c>
      <c r="C14">
        <v>1.65559166899036</v>
      </c>
      <c r="D14">
        <v>0.217212186610101</v>
      </c>
      <c r="E14" s="7">
        <v>1.76397020129415E-5</v>
      </c>
      <c r="F14">
        <v>3.8364517156834602E-2</v>
      </c>
      <c r="G14">
        <v>1.6375451596533399</v>
      </c>
      <c r="H14">
        <v>0.21311249858890499</v>
      </c>
      <c r="I14">
        <v>2.8346218864981999E-2</v>
      </c>
      <c r="J14">
        <v>3.04047553387457E-2</v>
      </c>
      <c r="K14">
        <v>1.6454342168109899</v>
      </c>
      <c r="L14">
        <v>0.215076392082134</v>
      </c>
      <c r="M14">
        <v>2.8752613259759301E-2</v>
      </c>
      <c r="N14">
        <v>3.2174345080522797E-2</v>
      </c>
      <c r="O14">
        <v>1000</v>
      </c>
      <c r="P14">
        <v>0</v>
      </c>
      <c r="Q14">
        <v>0</v>
      </c>
    </row>
    <row r="15" spans="1:17" x14ac:dyDescent="0.25">
      <c r="A15">
        <v>1.6105099999999799</v>
      </c>
      <c r="B15">
        <v>0.20696342579112301</v>
      </c>
      <c r="C15">
        <v>1.8671944752302501</v>
      </c>
      <c r="D15">
        <v>0.26845001627931903</v>
      </c>
      <c r="E15" s="7">
        <v>3.3882640679335402E-4</v>
      </c>
      <c r="F15">
        <v>4.82108078735543E-2</v>
      </c>
      <c r="G15">
        <v>1.82982908715729</v>
      </c>
      <c r="H15">
        <v>0.26062409363515299</v>
      </c>
      <c r="I15">
        <v>3.8364565190962298E-2</v>
      </c>
      <c r="J15">
        <v>3.9006618633523102E-2</v>
      </c>
      <c r="K15">
        <v>1.8380380111677099</v>
      </c>
      <c r="L15">
        <v>0.26247101658830202</v>
      </c>
      <c r="M15">
        <v>3.8769400434917001E-2</v>
      </c>
      <c r="N15">
        <v>3.9995973123844397E-2</v>
      </c>
      <c r="O15">
        <v>1000</v>
      </c>
      <c r="P15">
        <v>0</v>
      </c>
      <c r="Q15">
        <v>0</v>
      </c>
    </row>
    <row r="16" spans="1:17" x14ac:dyDescent="0.25">
      <c r="A16">
        <v>1.7715610000000099</v>
      </c>
      <c r="B16">
        <v>0.24835611094934601</v>
      </c>
      <c r="C16">
        <v>2.1040614940585001</v>
      </c>
      <c r="D16">
        <v>0.31709530437224398</v>
      </c>
      <c r="E16">
        <v>2.0461729907288199E-3</v>
      </c>
      <c r="F16">
        <v>6.9162554405762994E-2</v>
      </c>
      <c r="G16">
        <v>2.0488028333649</v>
      </c>
      <c r="H16">
        <v>0.30805961281174299</v>
      </c>
      <c r="I16">
        <v>4.9434186987308198E-2</v>
      </c>
      <c r="J16">
        <v>5.3411618950260802E-2</v>
      </c>
      <c r="K16">
        <v>2.0517823563434399</v>
      </c>
      <c r="L16">
        <v>0.30849968248425103</v>
      </c>
      <c r="M16">
        <v>4.95279403792293E-2</v>
      </c>
      <c r="N16">
        <v>5.4812801734638102E-2</v>
      </c>
      <c r="O16">
        <v>1000</v>
      </c>
      <c r="P16">
        <v>0</v>
      </c>
      <c r="Q16">
        <v>0</v>
      </c>
    </row>
    <row r="17" spans="1:17" x14ac:dyDescent="0.25">
      <c r="A17">
        <v>1.9487171000000201</v>
      </c>
      <c r="B17">
        <v>0.28974879610757398</v>
      </c>
      <c r="C17">
        <v>2.4086365890566701</v>
      </c>
      <c r="D17">
        <v>0.37063829465132098</v>
      </c>
      <c r="E17">
        <v>7.2271449627581896E-3</v>
      </c>
      <c r="F17">
        <v>9.2146738674038706E-2</v>
      </c>
      <c r="G17">
        <v>2.3207854023422998</v>
      </c>
      <c r="H17">
        <v>0.359566152476059</v>
      </c>
      <c r="I17">
        <v>6.2518678584415302E-2</v>
      </c>
      <c r="J17">
        <v>7.0329893366988305E-2</v>
      </c>
      <c r="K17">
        <v>2.3290501974796798</v>
      </c>
      <c r="L17">
        <v>0.36090282189456302</v>
      </c>
      <c r="M17">
        <v>6.2842005603013396E-2</v>
      </c>
      <c r="N17">
        <v>7.1563009142558004E-2</v>
      </c>
      <c r="O17">
        <v>1000</v>
      </c>
      <c r="P17">
        <v>0</v>
      </c>
      <c r="Q17">
        <v>0</v>
      </c>
    </row>
    <row r="18" spans="1:17" x14ac:dyDescent="0.25">
      <c r="A18">
        <v>2.1435888099999798</v>
      </c>
      <c r="B18">
        <v>0.33114148126579601</v>
      </c>
      <c r="C18">
        <v>2.68919992128713</v>
      </c>
      <c r="D18">
        <v>0.416555141629527</v>
      </c>
      <c r="E18">
        <v>1.09671882058698E-2</v>
      </c>
      <c r="F18">
        <v>0.101421483908803</v>
      </c>
      <c r="G18">
        <v>2.6067815091380702</v>
      </c>
      <c r="H18">
        <v>0.40795883847432401</v>
      </c>
      <c r="I18">
        <v>7.5571512233479396E-2</v>
      </c>
      <c r="J18">
        <v>8.0507164275174903E-2</v>
      </c>
      <c r="K18">
        <v>2.6141474051974201</v>
      </c>
      <c r="L18">
        <v>0.40908390741873701</v>
      </c>
      <c r="M18">
        <v>7.58513900519244E-2</v>
      </c>
      <c r="N18">
        <v>8.1188332280941494E-2</v>
      </c>
      <c r="O18">
        <v>1000</v>
      </c>
      <c r="P18">
        <v>0</v>
      </c>
      <c r="Q18">
        <v>0</v>
      </c>
    </row>
    <row r="19" spans="1:17" x14ac:dyDescent="0.25">
      <c r="A19">
        <v>2.3579476909999699</v>
      </c>
      <c r="B19">
        <v>0.37253416642402998</v>
      </c>
      <c r="C19">
        <v>2.9673640180727001</v>
      </c>
      <c r="D19">
        <v>0.45563525540743699</v>
      </c>
      <c r="E19">
        <v>1.40680101846278E-2</v>
      </c>
      <c r="F19">
        <v>0.115009702017042</v>
      </c>
      <c r="G19">
        <v>2.8794976492195201</v>
      </c>
      <c r="H19">
        <v>0.449367138854328</v>
      </c>
      <c r="I19">
        <v>8.7390162045602196E-2</v>
      </c>
      <c r="J19">
        <v>8.9380804406639106E-2</v>
      </c>
      <c r="K19">
        <v>2.8834159835005302</v>
      </c>
      <c r="L19">
        <v>0.45010405841053902</v>
      </c>
      <c r="M19">
        <v>8.7401817587429695E-2</v>
      </c>
      <c r="N19">
        <v>8.8784412367719404E-2</v>
      </c>
      <c r="O19">
        <v>1000</v>
      </c>
      <c r="P19">
        <v>0</v>
      </c>
      <c r="Q19">
        <v>0</v>
      </c>
    </row>
    <row r="20" spans="1:17" x14ac:dyDescent="0.25">
      <c r="A20">
        <v>2.5937424601000201</v>
      </c>
      <c r="B20">
        <v>0.41392685158224601</v>
      </c>
      <c r="C20">
        <v>3.4545707062116802</v>
      </c>
      <c r="D20">
        <v>0.51077211627904695</v>
      </c>
      <c r="E20">
        <v>2.66478770094296E-2</v>
      </c>
      <c r="F20">
        <v>0.144678154614301</v>
      </c>
      <c r="G20">
        <v>3.2686132463363</v>
      </c>
      <c r="H20">
        <v>0.49956082670861801</v>
      </c>
      <c r="I20">
        <v>0.102702103809009</v>
      </c>
      <c r="J20">
        <v>0.10827274807012</v>
      </c>
      <c r="K20">
        <v>3.2672979285935999</v>
      </c>
      <c r="L20">
        <v>0.49969249523009202</v>
      </c>
      <c r="M20">
        <v>0.10200594437701201</v>
      </c>
      <c r="N20">
        <v>0.107202447914634</v>
      </c>
      <c r="O20">
        <v>1000</v>
      </c>
      <c r="P20">
        <v>0</v>
      </c>
      <c r="Q20">
        <v>0</v>
      </c>
    </row>
    <row r="21" spans="1:17" x14ac:dyDescent="0.25">
      <c r="A21">
        <v>2.85311670611005</v>
      </c>
      <c r="B21">
        <v>0.45531953674048498</v>
      </c>
      <c r="C21">
        <v>3.7550335874267202</v>
      </c>
      <c r="D21">
        <v>0.54538542758418695</v>
      </c>
      <c r="E21">
        <v>3.3459962516315701E-2</v>
      </c>
      <c r="F21">
        <v>0.15022317200100499</v>
      </c>
      <c r="G21">
        <v>3.75002777761026</v>
      </c>
      <c r="H21">
        <v>0.55264164638163404</v>
      </c>
      <c r="I21">
        <v>0.11978389098586401</v>
      </c>
      <c r="J21">
        <v>0.128343375840938</v>
      </c>
      <c r="K21">
        <v>3.7476808290964301</v>
      </c>
      <c r="L21">
        <v>0.55219609994398</v>
      </c>
      <c r="M21">
        <v>0.12070041498245999</v>
      </c>
      <c r="N21">
        <v>0.12879521586245399</v>
      </c>
      <c r="O21">
        <v>1000</v>
      </c>
      <c r="P21">
        <v>0</v>
      </c>
      <c r="Q21">
        <v>0</v>
      </c>
    </row>
    <row r="22" spans="1:17" x14ac:dyDescent="0.25">
      <c r="A22">
        <v>3.1384283767210501</v>
      </c>
      <c r="B22">
        <v>0.49671222189869302</v>
      </c>
      <c r="C22">
        <v>4.15314410593147</v>
      </c>
      <c r="D22">
        <v>0.58575866723793402</v>
      </c>
      <c r="E22">
        <v>4.9560063859017699E-2</v>
      </c>
      <c r="F22">
        <v>0.160095032373679</v>
      </c>
      <c r="G22">
        <v>4.2039719089077696</v>
      </c>
      <c r="H22">
        <v>0.59799553847734599</v>
      </c>
      <c r="I22">
        <v>0.13493503408388699</v>
      </c>
      <c r="J22">
        <v>0.14127513848277101</v>
      </c>
      <c r="K22">
        <v>4.2167193765505901</v>
      </c>
      <c r="L22">
        <v>0.59787921865680305</v>
      </c>
      <c r="M22">
        <v>0.13576889329775799</v>
      </c>
      <c r="N22">
        <v>0.143594422139319</v>
      </c>
      <c r="O22">
        <v>1000</v>
      </c>
      <c r="P22">
        <v>0</v>
      </c>
      <c r="Q22">
        <v>0</v>
      </c>
    </row>
    <row r="23" spans="1:17" x14ac:dyDescent="0.25">
      <c r="A23">
        <v>3.4522712143930399</v>
      </c>
      <c r="B23">
        <v>0.53810490705693204</v>
      </c>
      <c r="C23">
        <v>4.6332887769078104</v>
      </c>
      <c r="D23">
        <v>0.62590572848696702</v>
      </c>
      <c r="E23">
        <v>7.1606756903758395E-2</v>
      </c>
      <c r="F23">
        <v>0.177590002603848</v>
      </c>
      <c r="G23">
        <v>5.0024439884524803</v>
      </c>
      <c r="H23">
        <v>0.65544107785653005</v>
      </c>
      <c r="I23">
        <v>0.15562400619160899</v>
      </c>
      <c r="J23">
        <v>0.17499253954232599</v>
      </c>
      <c r="K23">
        <v>5.0168702543021499</v>
      </c>
      <c r="L23">
        <v>0.65565693494015498</v>
      </c>
      <c r="M23">
        <v>0.162924178639162</v>
      </c>
      <c r="N23">
        <v>0.17729365072245001</v>
      </c>
      <c r="O23">
        <v>1000</v>
      </c>
      <c r="P23">
        <v>0</v>
      </c>
      <c r="Q23">
        <v>0</v>
      </c>
    </row>
    <row r="24" spans="1:17" x14ac:dyDescent="0.25">
      <c r="A24">
        <v>3.79749833583231</v>
      </c>
      <c r="B24">
        <v>0.57949759221514796</v>
      </c>
      <c r="C24">
        <v>4.9294133113468899</v>
      </c>
      <c r="D24">
        <v>0.65341081560479397</v>
      </c>
      <c r="E24">
        <v>7.7247149976723703E-2</v>
      </c>
      <c r="F24">
        <v>0.176261440936435</v>
      </c>
      <c r="G24">
        <v>5.7573089742502601</v>
      </c>
      <c r="H24">
        <v>0.70960752457735399</v>
      </c>
      <c r="I24">
        <v>0.17500243550068001</v>
      </c>
      <c r="J24">
        <v>0.18247005760481999</v>
      </c>
      <c r="K24">
        <v>5.6301736908596496</v>
      </c>
      <c r="L24">
        <v>0.70736742723750701</v>
      </c>
      <c r="M24">
        <v>0.182584845489449</v>
      </c>
      <c r="N24">
        <v>0.17903626518718499</v>
      </c>
      <c r="O24">
        <v>1000</v>
      </c>
      <c r="P24">
        <v>0</v>
      </c>
      <c r="Q24">
        <v>0</v>
      </c>
    </row>
    <row r="25" spans="1:17" x14ac:dyDescent="0.25">
      <c r="A25">
        <v>4.1772481694156403</v>
      </c>
      <c r="B25">
        <v>0.62089027737336999</v>
      </c>
      <c r="C25">
        <v>5.3126431211191196</v>
      </c>
      <c r="D25">
        <v>0.683272380243515</v>
      </c>
      <c r="E25">
        <v>0.109771585715429</v>
      </c>
      <c r="F25">
        <v>0.18364003101696999</v>
      </c>
      <c r="G25">
        <v>6.9480874024307999</v>
      </c>
      <c r="H25">
        <v>0.76251916417436005</v>
      </c>
      <c r="I25">
        <v>0.19579409446971799</v>
      </c>
      <c r="J25">
        <v>0.21461972766328399</v>
      </c>
      <c r="K25">
        <v>6.5512822584152604</v>
      </c>
      <c r="L25">
        <v>0.75819629825422497</v>
      </c>
      <c r="M25">
        <v>0.20477707168589701</v>
      </c>
      <c r="N25">
        <v>0.207375669596741</v>
      </c>
      <c r="O25">
        <v>1000</v>
      </c>
      <c r="P25">
        <v>0</v>
      </c>
      <c r="Q25">
        <v>0</v>
      </c>
    </row>
    <row r="26" spans="1:17" x14ac:dyDescent="0.25">
      <c r="A26">
        <v>4.5949729863572504</v>
      </c>
      <c r="B26">
        <v>0.66228296253159202</v>
      </c>
      <c r="C26">
        <v>5.7552860352478001</v>
      </c>
      <c r="D26">
        <v>0.71296277855563095</v>
      </c>
      <c r="E26">
        <v>0.117229318621326</v>
      </c>
      <c r="F26">
        <v>0.199035038050555</v>
      </c>
      <c r="G26">
        <v>9.5342924660585098</v>
      </c>
      <c r="H26">
        <v>0.81678021487210795</v>
      </c>
      <c r="I26">
        <v>0.21823519532197899</v>
      </c>
      <c r="J26">
        <v>0.25443056649712398</v>
      </c>
      <c r="K26">
        <v>7.3651022031419204</v>
      </c>
      <c r="L26">
        <v>0.80019873595729496</v>
      </c>
      <c r="M26">
        <v>0.231822178328317</v>
      </c>
      <c r="N26">
        <v>0.22586850857787799</v>
      </c>
      <c r="O26">
        <v>1000</v>
      </c>
      <c r="P26">
        <v>0</v>
      </c>
      <c r="Q26">
        <v>0</v>
      </c>
    </row>
    <row r="27" spans="1:17" x14ac:dyDescent="0.25">
      <c r="A27">
        <v>5.0544702849929299</v>
      </c>
      <c r="B27">
        <v>0.70367564768981405</v>
      </c>
      <c r="C27">
        <v>6.1098992279244904</v>
      </c>
      <c r="D27">
        <v>0.74471959198198701</v>
      </c>
      <c r="E27">
        <v>0.18663510163253499</v>
      </c>
      <c r="F27">
        <v>0.186352191692091</v>
      </c>
      <c r="G27">
        <v>10.5988953520853</v>
      </c>
      <c r="H27">
        <v>0.87629286951157703</v>
      </c>
      <c r="I27">
        <v>0.24228201750707701</v>
      </c>
      <c r="J27">
        <v>0.266576919026279</v>
      </c>
      <c r="K27">
        <v>8.6597458572750803</v>
      </c>
      <c r="L27">
        <v>0.86051725218772601</v>
      </c>
      <c r="M27">
        <v>0.25992699677547398</v>
      </c>
      <c r="N27">
        <v>0.247026794556302</v>
      </c>
      <c r="O27">
        <v>1000</v>
      </c>
      <c r="P27">
        <v>0</v>
      </c>
      <c r="Q27">
        <v>0</v>
      </c>
    </row>
    <row r="28" spans="1:17" x14ac:dyDescent="0.25">
      <c r="A28">
        <v>5.5599173134923303</v>
      </c>
      <c r="B28">
        <v>0.74506833284806095</v>
      </c>
      <c r="C28">
        <v>6.3130538635069504</v>
      </c>
      <c r="D28">
        <v>0.75842730079270104</v>
      </c>
      <c r="E28">
        <v>0.18563469201317401</v>
      </c>
      <c r="F28">
        <v>0.18377319676586801</v>
      </c>
      <c r="G28">
        <v>24.482967700381099</v>
      </c>
      <c r="H28">
        <v>0.91837821200057701</v>
      </c>
      <c r="I28">
        <v>0.26149818680346898</v>
      </c>
      <c r="J28">
        <v>0.30984625994201598</v>
      </c>
      <c r="K28">
        <v>9.2901366919154995</v>
      </c>
      <c r="L28">
        <v>0.88512025510447301</v>
      </c>
      <c r="M28">
        <v>0.26493336607627999</v>
      </c>
      <c r="N28">
        <v>0.26027739251927801</v>
      </c>
      <c r="O28">
        <v>1000</v>
      </c>
      <c r="P28">
        <v>0</v>
      </c>
      <c r="Q28">
        <v>0</v>
      </c>
    </row>
    <row r="29" spans="1:17" x14ac:dyDescent="0.25">
      <c r="A29">
        <v>6.1159090448415396</v>
      </c>
      <c r="B29">
        <v>0.78646101800628598</v>
      </c>
      <c r="C29">
        <v>6.2828701363209296</v>
      </c>
      <c r="D29">
        <v>0.75314599999682597</v>
      </c>
      <c r="E29">
        <v>0.20159611165477101</v>
      </c>
      <c r="F29">
        <v>0.19106815972455601</v>
      </c>
      <c r="G29">
        <v>42.712364725137299</v>
      </c>
      <c r="H29">
        <v>0.98342436223221297</v>
      </c>
      <c r="I29">
        <v>0.29187936802473502</v>
      </c>
      <c r="J29">
        <v>0.36632935300729003</v>
      </c>
      <c r="K29">
        <v>10.127671377699899</v>
      </c>
      <c r="L29">
        <v>0.91850283474888295</v>
      </c>
      <c r="M29">
        <v>0.29069524557638698</v>
      </c>
      <c r="N29">
        <v>0.27765069996733299</v>
      </c>
      <c r="O29">
        <v>1000</v>
      </c>
      <c r="P29">
        <v>0</v>
      </c>
      <c r="Q29">
        <v>0</v>
      </c>
    </row>
    <row r="30" spans="1:17" x14ac:dyDescent="0.25">
      <c r="A30">
        <v>6.7274999493256402</v>
      </c>
      <c r="B30">
        <v>0.82785370316449203</v>
      </c>
      <c r="C30">
        <v>6.8851635955865698</v>
      </c>
      <c r="D30">
        <v>0.78303684519160199</v>
      </c>
      <c r="E30">
        <v>0.29225124140959202</v>
      </c>
      <c r="F30">
        <v>0.21639179702120601</v>
      </c>
      <c r="G30">
        <v>20.7149549277452</v>
      </c>
      <c r="H30">
        <v>1.03762549285461</v>
      </c>
      <c r="I30">
        <v>0.31453899231064097</v>
      </c>
      <c r="J30">
        <v>0.35324670147253601</v>
      </c>
      <c r="K30">
        <v>11.2704006020561</v>
      </c>
      <c r="L30">
        <v>0.95874004771043597</v>
      </c>
      <c r="M30">
        <v>0.30706312392854002</v>
      </c>
      <c r="N30">
        <v>0.29642650716235602</v>
      </c>
      <c r="O30">
        <v>1000</v>
      </c>
      <c r="P30">
        <v>0</v>
      </c>
      <c r="Q30">
        <v>0</v>
      </c>
    </row>
    <row r="31" spans="1:17" x14ac:dyDescent="0.25">
      <c r="A31">
        <v>7.4002499442583201</v>
      </c>
      <c r="B31">
        <v>0.86924638832272205</v>
      </c>
      <c r="C31">
        <v>7.7007719431466501</v>
      </c>
      <c r="D31">
        <v>0.83364222219957096</v>
      </c>
      <c r="E31">
        <v>0.31636748542931598</v>
      </c>
      <c r="F31">
        <v>0.220346537004425</v>
      </c>
      <c r="G31">
        <v>1339.2104765250499</v>
      </c>
      <c r="H31">
        <v>1.1226608796620601</v>
      </c>
      <c r="I31">
        <v>0.35671334487806799</v>
      </c>
      <c r="J31">
        <v>0.42723917531679401</v>
      </c>
      <c r="K31">
        <v>12.519552227216099</v>
      </c>
      <c r="L31">
        <v>0.99592504297636797</v>
      </c>
      <c r="M31">
        <v>0.31891997522772098</v>
      </c>
      <c r="N31">
        <v>0.32397450279614898</v>
      </c>
      <c r="O31">
        <v>1000</v>
      </c>
      <c r="P31">
        <v>0</v>
      </c>
      <c r="Q31">
        <v>0</v>
      </c>
    </row>
    <row r="32" spans="1:17" x14ac:dyDescent="0.25">
      <c r="A32">
        <v>8.1402749386841204</v>
      </c>
      <c r="B32">
        <v>0.91063907348097095</v>
      </c>
      <c r="C32">
        <v>8.3834077973020005</v>
      </c>
      <c r="D32">
        <v>0.88364358031372803</v>
      </c>
      <c r="E32">
        <v>0.38285324079036698</v>
      </c>
      <c r="F32">
        <v>0.19698179414171299</v>
      </c>
      <c r="G32">
        <v>1365.9868543949899</v>
      </c>
      <c r="H32">
        <v>1.1641153761570899</v>
      </c>
      <c r="I32">
        <v>0.37714636341778002</v>
      </c>
      <c r="J32">
        <v>0.450510796126254</v>
      </c>
      <c r="K32">
        <v>13.470324040458699</v>
      </c>
      <c r="L32">
        <v>1.02910730329866</v>
      </c>
      <c r="M32">
        <v>0.34209743398688103</v>
      </c>
      <c r="N32">
        <v>0.32851207974260399</v>
      </c>
      <c r="O32">
        <v>1000</v>
      </c>
      <c r="P32">
        <v>0</v>
      </c>
      <c r="Q32">
        <v>0</v>
      </c>
    </row>
    <row r="33" spans="1:17" x14ac:dyDescent="0.25">
      <c r="A33">
        <v>8.9543024325522893</v>
      </c>
      <c r="B33">
        <v>0.95203175863915301</v>
      </c>
      <c r="C33">
        <v>8.2524610235504596</v>
      </c>
      <c r="D33">
        <v>0.88931438738650104</v>
      </c>
      <c r="E33">
        <v>0.28529057931072899</v>
      </c>
      <c r="F33">
        <v>0.16184350349066301</v>
      </c>
      <c r="G33" s="7">
        <v>1690228299.7816401</v>
      </c>
      <c r="H33">
        <v>1.2502253632527001</v>
      </c>
      <c r="I33">
        <v>0.42596337708056897</v>
      </c>
      <c r="J33">
        <v>0.58801014367842697</v>
      </c>
      <c r="K33">
        <v>14.2158705521712</v>
      </c>
      <c r="L33">
        <v>1.0384170630664</v>
      </c>
      <c r="M33">
        <v>0.326824910506755</v>
      </c>
      <c r="N33">
        <v>0.36516141025486598</v>
      </c>
      <c r="O33">
        <v>1000</v>
      </c>
      <c r="P33">
        <v>0</v>
      </c>
      <c r="Q33">
        <v>0</v>
      </c>
    </row>
    <row r="34" spans="1:17" x14ac:dyDescent="0.25">
      <c r="A34">
        <v>9.8497326758077506</v>
      </c>
      <c r="B34">
        <v>0.99342444379738704</v>
      </c>
      <c r="C34">
        <v>7.9426830675981002</v>
      </c>
      <c r="D34">
        <v>0.87580297580506805</v>
      </c>
      <c r="E34">
        <v>0.323042772359385</v>
      </c>
      <c r="F34">
        <v>0.14502669769603399</v>
      </c>
      <c r="G34">
        <v>2679.2316189435201</v>
      </c>
      <c r="H34">
        <v>1.27799370636309</v>
      </c>
      <c r="I34">
        <v>0.43547056923279898</v>
      </c>
      <c r="J34">
        <v>0.51354799969514697</v>
      </c>
      <c r="K34">
        <v>14.3500486518138</v>
      </c>
      <c r="L34">
        <v>1.0333627898367099</v>
      </c>
      <c r="M34">
        <v>0.33122001902181603</v>
      </c>
      <c r="N34">
        <v>0.38533424404796202</v>
      </c>
      <c r="O34">
        <v>1000</v>
      </c>
      <c r="P34">
        <v>0</v>
      </c>
      <c r="Q34">
        <v>0</v>
      </c>
    </row>
    <row r="36" spans="1:17" x14ac:dyDescent="0.25">
      <c r="A36" s="3" t="s">
        <v>8</v>
      </c>
      <c r="B36" s="3" t="s">
        <v>22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23</v>
      </c>
      <c r="H36" s="3" t="s">
        <v>24</v>
      </c>
      <c r="I36" s="3" t="s">
        <v>25</v>
      </c>
      <c r="J36" s="3" t="s">
        <v>26</v>
      </c>
      <c r="K36" s="3" t="s">
        <v>27</v>
      </c>
      <c r="L36" s="3" t="s">
        <v>28</v>
      </c>
      <c r="M36" s="3" t="s">
        <v>29</v>
      </c>
      <c r="N36" s="3" t="s">
        <v>30</v>
      </c>
      <c r="O36" s="3" t="s">
        <v>31</v>
      </c>
      <c r="P36" s="3" t="s">
        <v>32</v>
      </c>
    </row>
    <row r="37" spans="1:17" x14ac:dyDescent="0.25">
      <c r="A37" s="6">
        <f>$B11</f>
        <v>4.1392685158224501E-2</v>
      </c>
      <c r="B37" s="6">
        <f>$D11</f>
        <v>0.11466603246106601</v>
      </c>
      <c r="C37" s="6">
        <f t="shared" ref="C37:C60" si="0">B37-$E11</f>
        <v>0.11466505744949924</v>
      </c>
      <c r="D37" s="6">
        <f t="shared" ref="D37:D60" si="1">B37+$E11</f>
        <v>0.11466700747263277</v>
      </c>
      <c r="E37" s="6">
        <f>$B37-$F11</f>
        <v>0.11422593266644082</v>
      </c>
      <c r="F37" s="6">
        <f>$B37+$F11</f>
        <v>0.11510613225569119</v>
      </c>
      <c r="G37" s="6">
        <f>$H11</f>
        <v>6.7324292977164205E-2</v>
      </c>
      <c r="H37" s="6">
        <f>$G37-$I11</f>
        <v>6.2312012279152881E-2</v>
      </c>
      <c r="I37" s="6">
        <f>$G37+$I11</f>
        <v>7.2336573675175528E-2</v>
      </c>
      <c r="J37" s="6">
        <f>$G37-$J11</f>
        <v>6.0931326562302657E-2</v>
      </c>
      <c r="K37" s="6">
        <f>$G37+$J11</f>
        <v>7.3717259392025752E-2</v>
      </c>
      <c r="L37" s="6">
        <f>$L11</f>
        <v>0.124178055474673</v>
      </c>
      <c r="M37" s="6">
        <f>$L37-$M11</f>
        <v>0.11166616642534841</v>
      </c>
      <c r="N37" s="6">
        <f>$L37+$M11</f>
        <v>0.1366899445239976</v>
      </c>
      <c r="O37" s="6">
        <f>$L37-$N11</f>
        <v>0.12417805547467116</v>
      </c>
      <c r="P37" s="6">
        <f>$L37+$N11</f>
        <v>0.12417805547467485</v>
      </c>
    </row>
    <row r="38" spans="1:17" x14ac:dyDescent="0.25">
      <c r="A38" s="6">
        <f t="shared" ref="A38:A60" si="2">$B12</f>
        <v>8.2785370316449003E-2</v>
      </c>
      <c r="B38" s="6">
        <f t="shared" ref="B38:B60" si="3">$D12</f>
        <v>0.121547359125191</v>
      </c>
      <c r="C38" s="6">
        <f t="shared" si="0"/>
        <v>0.12154573701882401</v>
      </c>
      <c r="D38" s="6">
        <f t="shared" si="1"/>
        <v>0.121548981231558</v>
      </c>
      <c r="E38" s="6">
        <f t="shared" ref="E38:E60" si="4">$B38-$F12</f>
        <v>0.11137596444247741</v>
      </c>
      <c r="F38" s="6">
        <f t="shared" ref="F38:F60" si="5">$B38+$F12</f>
        <v>0.1317187538079046</v>
      </c>
      <c r="G38" s="6">
        <f t="shared" ref="G38:G60" si="6">$H12</f>
        <v>0.11642053305747301</v>
      </c>
      <c r="H38" s="6">
        <f t="shared" ref="H38:H60" si="7">$G38-$I12</f>
        <v>0.10500957362121781</v>
      </c>
      <c r="I38" s="6">
        <f t="shared" ref="I38:I60" si="8">$G38+$I12</f>
        <v>0.12783149249372822</v>
      </c>
      <c r="J38" s="6">
        <f t="shared" ref="J38:J60" si="9">$G38-$J12</f>
        <v>0.10360911017247461</v>
      </c>
      <c r="K38" s="6">
        <f t="shared" ref="K38:K60" si="10">$G38+$J12</f>
        <v>0.12923195594247142</v>
      </c>
      <c r="L38" s="6">
        <f t="shared" ref="L38:L60" si="11">$L12</f>
        <v>0.12599933362163501</v>
      </c>
      <c r="M38" s="6">
        <f t="shared" ref="M38:M60" si="12">$L38-$M12</f>
        <v>0.11319043545683802</v>
      </c>
      <c r="N38" s="6">
        <f t="shared" ref="N38:N60" si="13">$L38+$M12</f>
        <v>0.13880823178643201</v>
      </c>
      <c r="O38" s="6">
        <f t="shared" ref="O38:O60" si="14">$L38-$N12</f>
        <v>0.11750564881963856</v>
      </c>
      <c r="P38" s="6">
        <f t="shared" ref="P38:P60" si="15">$L38+$N12</f>
        <v>0.13449301842363148</v>
      </c>
    </row>
    <row r="39" spans="1:17" x14ac:dyDescent="0.25">
      <c r="A39" s="6">
        <f t="shared" si="2"/>
        <v>0.124178055474673</v>
      </c>
      <c r="B39" s="6">
        <f t="shared" si="3"/>
        <v>0.16520193578064901</v>
      </c>
      <c r="C39" s="6">
        <f t="shared" si="0"/>
        <v>0.16519955519347918</v>
      </c>
      <c r="D39" s="6">
        <f t="shared" si="1"/>
        <v>0.16520431636781885</v>
      </c>
      <c r="E39" s="6">
        <f t="shared" si="4"/>
        <v>0.13750934164463322</v>
      </c>
      <c r="F39" s="6">
        <f t="shared" si="5"/>
        <v>0.19289452991666481</v>
      </c>
      <c r="G39" s="6">
        <f t="shared" si="6"/>
        <v>0.16386756813489201</v>
      </c>
      <c r="H39" s="6">
        <f t="shared" si="7"/>
        <v>0.14477653689276559</v>
      </c>
      <c r="I39" s="6">
        <f t="shared" si="8"/>
        <v>0.18295859937701842</v>
      </c>
      <c r="J39" s="6">
        <f t="shared" si="9"/>
        <v>0.14233258114948522</v>
      </c>
      <c r="K39" s="6">
        <f t="shared" si="10"/>
        <v>0.1854025551202988</v>
      </c>
      <c r="L39" s="6">
        <f t="shared" si="11"/>
        <v>0.16722644803922701</v>
      </c>
      <c r="M39" s="6">
        <f t="shared" si="12"/>
        <v>0.1475200427926443</v>
      </c>
      <c r="N39" s="6">
        <f t="shared" si="13"/>
        <v>0.18693285328580972</v>
      </c>
      <c r="O39" s="6">
        <f t="shared" si="14"/>
        <v>0.1428522801788244</v>
      </c>
      <c r="P39" s="6">
        <f t="shared" si="15"/>
        <v>0.19160061589962962</v>
      </c>
    </row>
    <row r="40" spans="1:17" x14ac:dyDescent="0.25">
      <c r="A40" s="6">
        <f t="shared" si="2"/>
        <v>0.16557074063289801</v>
      </c>
      <c r="B40" s="6">
        <f t="shared" si="3"/>
        <v>0.217212186610101</v>
      </c>
      <c r="C40" s="6">
        <f t="shared" si="0"/>
        <v>0.21719454690808807</v>
      </c>
      <c r="D40" s="6">
        <f t="shared" si="1"/>
        <v>0.21722982631211393</v>
      </c>
      <c r="E40" s="6">
        <f t="shared" si="4"/>
        <v>0.17884766945326641</v>
      </c>
      <c r="F40" s="6">
        <f t="shared" si="5"/>
        <v>0.25557670376693559</v>
      </c>
      <c r="G40" s="6">
        <f t="shared" si="6"/>
        <v>0.21311249858890499</v>
      </c>
      <c r="H40" s="6">
        <f t="shared" si="7"/>
        <v>0.18476627972392298</v>
      </c>
      <c r="I40" s="6">
        <f t="shared" si="8"/>
        <v>0.241458717453887</v>
      </c>
      <c r="J40" s="6">
        <f t="shared" si="9"/>
        <v>0.18270774325015929</v>
      </c>
      <c r="K40" s="6">
        <f t="shared" si="10"/>
        <v>0.2435172539276507</v>
      </c>
      <c r="L40" s="6">
        <f t="shared" si="11"/>
        <v>0.215076392082134</v>
      </c>
      <c r="M40" s="6">
        <f t="shared" si="12"/>
        <v>0.18632377882237469</v>
      </c>
      <c r="N40" s="6">
        <f t="shared" si="13"/>
        <v>0.24382900534189331</v>
      </c>
      <c r="O40" s="6">
        <f t="shared" si="14"/>
        <v>0.1829020470016112</v>
      </c>
      <c r="P40" s="6">
        <f t="shared" si="15"/>
        <v>0.2472507371626568</v>
      </c>
    </row>
    <row r="41" spans="1:17" x14ac:dyDescent="0.25">
      <c r="A41" s="6">
        <f t="shared" si="2"/>
        <v>0.20696342579112301</v>
      </c>
      <c r="B41" s="6">
        <f t="shared" si="3"/>
        <v>0.26845001627931903</v>
      </c>
      <c r="C41" s="6">
        <f t="shared" si="0"/>
        <v>0.26811118987252569</v>
      </c>
      <c r="D41" s="6">
        <f t="shared" si="1"/>
        <v>0.26878884268611236</v>
      </c>
      <c r="E41" s="6">
        <f t="shared" si="4"/>
        <v>0.22023920840576472</v>
      </c>
      <c r="F41" s="6">
        <f t="shared" si="5"/>
        <v>0.31666082415287333</v>
      </c>
      <c r="G41" s="6">
        <f t="shared" si="6"/>
        <v>0.26062409363515299</v>
      </c>
      <c r="H41" s="6">
        <f t="shared" si="7"/>
        <v>0.2222595284441907</v>
      </c>
      <c r="I41" s="6">
        <f t="shared" si="8"/>
        <v>0.29898865882611531</v>
      </c>
      <c r="J41" s="6">
        <f t="shared" si="9"/>
        <v>0.22161747500162987</v>
      </c>
      <c r="K41" s="6">
        <f t="shared" si="10"/>
        <v>0.2996307122686761</v>
      </c>
      <c r="L41" s="6">
        <f t="shared" si="11"/>
        <v>0.26247101658830202</v>
      </c>
      <c r="M41" s="6">
        <f t="shared" si="12"/>
        <v>0.22370161615338502</v>
      </c>
      <c r="N41" s="6">
        <f t="shared" si="13"/>
        <v>0.30124041702321902</v>
      </c>
      <c r="O41" s="6">
        <f t="shared" si="14"/>
        <v>0.22247504346445762</v>
      </c>
      <c r="P41" s="6">
        <f t="shared" si="15"/>
        <v>0.30246698971214642</v>
      </c>
    </row>
    <row r="42" spans="1:17" x14ac:dyDescent="0.25">
      <c r="A42" s="6">
        <f t="shared" si="2"/>
        <v>0.24835611094934601</v>
      </c>
      <c r="B42" s="6">
        <f t="shared" si="3"/>
        <v>0.31709530437224398</v>
      </c>
      <c r="C42" s="6">
        <f t="shared" si="0"/>
        <v>0.31504913138151514</v>
      </c>
      <c r="D42" s="6">
        <f t="shared" si="1"/>
        <v>0.31914147736297283</v>
      </c>
      <c r="E42" s="6">
        <f t="shared" si="4"/>
        <v>0.24793274996648099</v>
      </c>
      <c r="F42" s="6">
        <f t="shared" si="5"/>
        <v>0.386257858778007</v>
      </c>
      <c r="G42" s="6">
        <f t="shared" si="6"/>
        <v>0.30805961281174299</v>
      </c>
      <c r="H42" s="6">
        <f t="shared" si="7"/>
        <v>0.25862542582443482</v>
      </c>
      <c r="I42" s="6">
        <f t="shared" si="8"/>
        <v>0.35749379979905116</v>
      </c>
      <c r="J42" s="6">
        <f t="shared" si="9"/>
        <v>0.25464799386148218</v>
      </c>
      <c r="K42" s="6">
        <f t="shared" si="10"/>
        <v>0.3614712317620038</v>
      </c>
      <c r="L42" s="6">
        <f t="shared" si="11"/>
        <v>0.30849968248425103</v>
      </c>
      <c r="M42" s="6">
        <f t="shared" si="12"/>
        <v>0.25897174210502172</v>
      </c>
      <c r="N42" s="6">
        <f t="shared" si="13"/>
        <v>0.35802762286348033</v>
      </c>
      <c r="O42" s="6">
        <f t="shared" si="14"/>
        <v>0.25368688074961293</v>
      </c>
      <c r="P42" s="6">
        <f t="shared" si="15"/>
        <v>0.36331248421888912</v>
      </c>
    </row>
    <row r="43" spans="1:17" x14ac:dyDescent="0.25">
      <c r="A43" s="6">
        <f t="shared" si="2"/>
        <v>0.28974879610757398</v>
      </c>
      <c r="B43" s="6">
        <f t="shared" si="3"/>
        <v>0.37063829465132098</v>
      </c>
      <c r="C43" s="6">
        <f t="shared" si="0"/>
        <v>0.36341114968856281</v>
      </c>
      <c r="D43" s="6">
        <f t="shared" si="1"/>
        <v>0.37786543961407915</v>
      </c>
      <c r="E43" s="6">
        <f t="shared" si="4"/>
        <v>0.27849155597728226</v>
      </c>
      <c r="F43" s="6">
        <f t="shared" si="5"/>
        <v>0.4627850333253597</v>
      </c>
      <c r="G43" s="6">
        <f t="shared" si="6"/>
        <v>0.359566152476059</v>
      </c>
      <c r="H43" s="6">
        <f t="shared" si="7"/>
        <v>0.29704747389164371</v>
      </c>
      <c r="I43" s="6">
        <f t="shared" si="8"/>
        <v>0.42208483106047429</v>
      </c>
      <c r="J43" s="6">
        <f t="shared" si="9"/>
        <v>0.28923625910907069</v>
      </c>
      <c r="K43" s="6">
        <f t="shared" si="10"/>
        <v>0.4298960458430473</v>
      </c>
      <c r="L43" s="6">
        <f t="shared" si="11"/>
        <v>0.36090282189456302</v>
      </c>
      <c r="M43" s="6">
        <f t="shared" si="12"/>
        <v>0.29806081629154962</v>
      </c>
      <c r="N43" s="6">
        <f t="shared" si="13"/>
        <v>0.42374482749757642</v>
      </c>
      <c r="O43" s="6">
        <f t="shared" si="14"/>
        <v>0.28933981275200504</v>
      </c>
      <c r="P43" s="6">
        <f t="shared" si="15"/>
        <v>0.432465831037121</v>
      </c>
    </row>
    <row r="44" spans="1:17" x14ac:dyDescent="0.25">
      <c r="A44" s="6">
        <f t="shared" si="2"/>
        <v>0.33114148126579601</v>
      </c>
      <c r="B44" s="6">
        <f t="shared" si="3"/>
        <v>0.416555141629527</v>
      </c>
      <c r="C44" s="6">
        <f t="shared" si="0"/>
        <v>0.40558795342365722</v>
      </c>
      <c r="D44" s="6">
        <f t="shared" si="1"/>
        <v>0.42752232983539679</v>
      </c>
      <c r="E44" s="6">
        <f t="shared" si="4"/>
        <v>0.31513365772072399</v>
      </c>
      <c r="F44" s="6">
        <f t="shared" si="5"/>
        <v>0.51797662553833002</v>
      </c>
      <c r="G44" s="6">
        <f t="shared" si="6"/>
        <v>0.40795883847432401</v>
      </c>
      <c r="H44" s="6">
        <f t="shared" si="7"/>
        <v>0.3323873262408446</v>
      </c>
      <c r="I44" s="6">
        <f t="shared" si="8"/>
        <v>0.48353035070780342</v>
      </c>
      <c r="J44" s="6">
        <f t="shared" si="9"/>
        <v>0.32745167419914911</v>
      </c>
      <c r="K44" s="6">
        <f t="shared" si="10"/>
        <v>0.48846600274949892</v>
      </c>
      <c r="L44" s="6">
        <f t="shared" si="11"/>
        <v>0.40908390741873701</v>
      </c>
      <c r="M44" s="6">
        <f t="shared" si="12"/>
        <v>0.33323251736681259</v>
      </c>
      <c r="N44" s="6">
        <f t="shared" si="13"/>
        <v>0.48493529747066144</v>
      </c>
      <c r="O44" s="6">
        <f t="shared" si="14"/>
        <v>0.32789557513779555</v>
      </c>
      <c r="P44" s="6">
        <f t="shared" si="15"/>
        <v>0.49027223969967848</v>
      </c>
    </row>
    <row r="45" spans="1:17" x14ac:dyDescent="0.25">
      <c r="A45" s="6">
        <f t="shared" si="2"/>
        <v>0.37253416642402998</v>
      </c>
      <c r="B45" s="6">
        <f t="shared" si="3"/>
        <v>0.45563525540743699</v>
      </c>
      <c r="C45" s="6">
        <f t="shared" si="0"/>
        <v>0.44156724522280921</v>
      </c>
      <c r="D45" s="6">
        <f t="shared" si="1"/>
        <v>0.46970326559206477</v>
      </c>
      <c r="E45" s="6">
        <f t="shared" si="4"/>
        <v>0.34062555339039502</v>
      </c>
      <c r="F45" s="6">
        <f t="shared" si="5"/>
        <v>0.57064495742447896</v>
      </c>
      <c r="G45" s="6">
        <f t="shared" si="6"/>
        <v>0.449367138854328</v>
      </c>
      <c r="H45" s="6">
        <f t="shared" si="7"/>
        <v>0.36197697680872581</v>
      </c>
      <c r="I45" s="6">
        <f t="shared" si="8"/>
        <v>0.53675730089993023</v>
      </c>
      <c r="J45" s="6">
        <f t="shared" si="9"/>
        <v>0.3599863344476889</v>
      </c>
      <c r="K45" s="6">
        <f t="shared" si="10"/>
        <v>0.53874794326096709</v>
      </c>
      <c r="L45" s="6">
        <f t="shared" si="11"/>
        <v>0.45010405841053902</v>
      </c>
      <c r="M45" s="6">
        <f t="shared" si="12"/>
        <v>0.36270224082310931</v>
      </c>
      <c r="N45" s="6">
        <f t="shared" si="13"/>
        <v>0.53750587599796873</v>
      </c>
      <c r="O45" s="6">
        <f t="shared" si="14"/>
        <v>0.36131964604281963</v>
      </c>
      <c r="P45" s="6">
        <f t="shared" si="15"/>
        <v>0.53888847077825841</v>
      </c>
    </row>
    <row r="46" spans="1:17" x14ac:dyDescent="0.25">
      <c r="A46" s="6">
        <f t="shared" si="2"/>
        <v>0.41392685158224601</v>
      </c>
      <c r="B46" s="6">
        <f t="shared" si="3"/>
        <v>0.51077211627904695</v>
      </c>
      <c r="C46" s="6">
        <f t="shared" si="0"/>
        <v>0.48412423926961734</v>
      </c>
      <c r="D46" s="6">
        <f t="shared" si="1"/>
        <v>0.53741999328847656</v>
      </c>
      <c r="E46" s="6">
        <f t="shared" si="4"/>
        <v>0.36609396166474595</v>
      </c>
      <c r="F46" s="6">
        <f t="shared" si="5"/>
        <v>0.65545027089334795</v>
      </c>
      <c r="G46" s="6">
        <f t="shared" si="6"/>
        <v>0.49956082670861801</v>
      </c>
      <c r="H46" s="6">
        <f t="shared" si="7"/>
        <v>0.396858722899609</v>
      </c>
      <c r="I46" s="6">
        <f t="shared" si="8"/>
        <v>0.60226293051762703</v>
      </c>
      <c r="J46" s="6">
        <f t="shared" si="9"/>
        <v>0.39128807863849802</v>
      </c>
      <c r="K46" s="6">
        <f t="shared" si="10"/>
        <v>0.60783357477873801</v>
      </c>
      <c r="L46" s="6">
        <f t="shared" si="11"/>
        <v>0.49969249523009202</v>
      </c>
      <c r="M46" s="6">
        <f t="shared" si="12"/>
        <v>0.39768655085308002</v>
      </c>
      <c r="N46" s="6">
        <f t="shared" si="13"/>
        <v>0.60169843960710401</v>
      </c>
      <c r="O46" s="6">
        <f t="shared" si="14"/>
        <v>0.392490047315458</v>
      </c>
      <c r="P46" s="6">
        <f t="shared" si="15"/>
        <v>0.60689494314472603</v>
      </c>
    </row>
    <row r="47" spans="1:17" x14ac:dyDescent="0.25">
      <c r="A47" s="6">
        <f t="shared" si="2"/>
        <v>0.45531953674048498</v>
      </c>
      <c r="B47" s="6">
        <f t="shared" si="3"/>
        <v>0.54538542758418695</v>
      </c>
      <c r="C47" s="6">
        <f t="shared" si="0"/>
        <v>0.51192546506787129</v>
      </c>
      <c r="D47" s="6">
        <f t="shared" si="1"/>
        <v>0.57884539010050262</v>
      </c>
      <c r="E47" s="6">
        <f t="shared" si="4"/>
        <v>0.39516225558318196</v>
      </c>
      <c r="F47" s="6">
        <f t="shared" si="5"/>
        <v>0.69560859958519194</v>
      </c>
      <c r="G47" s="6">
        <f t="shared" si="6"/>
        <v>0.55264164638163404</v>
      </c>
      <c r="H47" s="6">
        <f t="shared" si="7"/>
        <v>0.43285775539577004</v>
      </c>
      <c r="I47" s="6">
        <f t="shared" si="8"/>
        <v>0.67242553736749811</v>
      </c>
      <c r="J47" s="6">
        <f t="shared" si="9"/>
        <v>0.42429827054069602</v>
      </c>
      <c r="K47" s="6">
        <f t="shared" si="10"/>
        <v>0.68098502222257207</v>
      </c>
      <c r="L47" s="6">
        <f t="shared" si="11"/>
        <v>0.55219609994398</v>
      </c>
      <c r="M47" s="6">
        <f t="shared" si="12"/>
        <v>0.43149568496152002</v>
      </c>
      <c r="N47" s="6">
        <f t="shared" si="13"/>
        <v>0.67289651492643998</v>
      </c>
      <c r="O47" s="6">
        <f t="shared" si="14"/>
        <v>0.42340088408152599</v>
      </c>
      <c r="P47" s="6">
        <f t="shared" si="15"/>
        <v>0.68099131580643402</v>
      </c>
    </row>
    <row r="48" spans="1:17" x14ac:dyDescent="0.25">
      <c r="A48" s="6">
        <f t="shared" si="2"/>
        <v>0.49671222189869302</v>
      </c>
      <c r="B48" s="6">
        <f t="shared" si="3"/>
        <v>0.58575866723793402</v>
      </c>
      <c r="C48" s="6">
        <f t="shared" si="0"/>
        <v>0.53619860337891634</v>
      </c>
      <c r="D48" s="6">
        <f t="shared" si="1"/>
        <v>0.63531873109695169</v>
      </c>
      <c r="E48" s="6">
        <f t="shared" si="4"/>
        <v>0.42566363486425501</v>
      </c>
      <c r="F48" s="6">
        <f t="shared" si="5"/>
        <v>0.74585369961161296</v>
      </c>
      <c r="G48" s="6">
        <f t="shared" si="6"/>
        <v>0.59799553847734599</v>
      </c>
      <c r="H48" s="6">
        <f t="shared" si="7"/>
        <v>0.46306050439345903</v>
      </c>
      <c r="I48" s="6">
        <f t="shared" si="8"/>
        <v>0.73293057256123295</v>
      </c>
      <c r="J48" s="6">
        <f t="shared" si="9"/>
        <v>0.45672039999457498</v>
      </c>
      <c r="K48" s="6">
        <f t="shared" si="10"/>
        <v>0.73927067696011695</v>
      </c>
      <c r="L48" s="6">
        <f t="shared" si="11"/>
        <v>0.59787921865680305</v>
      </c>
      <c r="M48" s="6">
        <f t="shared" si="12"/>
        <v>0.46211032535904506</v>
      </c>
      <c r="N48" s="6">
        <f t="shared" si="13"/>
        <v>0.73364811195456103</v>
      </c>
      <c r="O48" s="6">
        <f t="shared" si="14"/>
        <v>0.45428479651748405</v>
      </c>
      <c r="P48" s="6">
        <f t="shared" si="15"/>
        <v>0.74147364079612199</v>
      </c>
    </row>
    <row r="49" spans="1:16" x14ac:dyDescent="0.25">
      <c r="A49" s="6">
        <f t="shared" si="2"/>
        <v>0.53810490705693204</v>
      </c>
      <c r="B49" s="6">
        <f t="shared" si="3"/>
        <v>0.62590572848696702</v>
      </c>
      <c r="C49" s="6">
        <f t="shared" si="0"/>
        <v>0.55429897158320862</v>
      </c>
      <c r="D49" s="6">
        <f t="shared" si="1"/>
        <v>0.69751248539072541</v>
      </c>
      <c r="E49" s="6">
        <f t="shared" si="4"/>
        <v>0.44831572588311902</v>
      </c>
      <c r="F49" s="6">
        <f t="shared" si="5"/>
        <v>0.80349573109081507</v>
      </c>
      <c r="G49" s="6">
        <f t="shared" si="6"/>
        <v>0.65544107785653005</v>
      </c>
      <c r="H49" s="6">
        <f t="shared" si="7"/>
        <v>0.49981707166492106</v>
      </c>
      <c r="I49" s="6">
        <f t="shared" si="8"/>
        <v>0.81106508404813904</v>
      </c>
      <c r="J49" s="6">
        <f t="shared" si="9"/>
        <v>0.48044853831420409</v>
      </c>
      <c r="K49" s="6">
        <f t="shared" si="10"/>
        <v>0.83043361739885602</v>
      </c>
      <c r="L49" s="6">
        <f t="shared" si="11"/>
        <v>0.65565693494015498</v>
      </c>
      <c r="M49" s="6">
        <f t="shared" si="12"/>
        <v>0.492732756300993</v>
      </c>
      <c r="N49" s="6">
        <f t="shared" si="13"/>
        <v>0.81858111357931695</v>
      </c>
      <c r="O49" s="6">
        <f t="shared" si="14"/>
        <v>0.47836328421770496</v>
      </c>
      <c r="P49" s="6">
        <f t="shared" si="15"/>
        <v>0.83295058566260494</v>
      </c>
    </row>
    <row r="50" spans="1:16" x14ac:dyDescent="0.25">
      <c r="A50" s="6">
        <f t="shared" si="2"/>
        <v>0.57949759221514796</v>
      </c>
      <c r="B50" s="6">
        <f t="shared" si="3"/>
        <v>0.65341081560479397</v>
      </c>
      <c r="C50" s="6">
        <f t="shared" si="0"/>
        <v>0.57616366562807031</v>
      </c>
      <c r="D50" s="6">
        <f t="shared" si="1"/>
        <v>0.73065796558151763</v>
      </c>
      <c r="E50" s="6">
        <f t="shared" si="4"/>
        <v>0.47714937466835894</v>
      </c>
      <c r="F50" s="6">
        <f t="shared" si="5"/>
        <v>0.829672256541229</v>
      </c>
      <c r="G50" s="6">
        <f t="shared" si="6"/>
        <v>0.70960752457735399</v>
      </c>
      <c r="H50" s="6">
        <f t="shared" si="7"/>
        <v>0.53460508907667403</v>
      </c>
      <c r="I50" s="6">
        <f t="shared" si="8"/>
        <v>0.88460996007803394</v>
      </c>
      <c r="J50" s="6">
        <f t="shared" si="9"/>
        <v>0.52713746697253394</v>
      </c>
      <c r="K50" s="6">
        <f t="shared" si="10"/>
        <v>0.89207758218217403</v>
      </c>
      <c r="L50" s="6">
        <f t="shared" si="11"/>
        <v>0.70736742723750701</v>
      </c>
      <c r="M50" s="6">
        <f t="shared" si="12"/>
        <v>0.52478258174805803</v>
      </c>
      <c r="N50" s="6">
        <f t="shared" si="13"/>
        <v>0.88995227272695598</v>
      </c>
      <c r="O50" s="6">
        <f t="shared" si="14"/>
        <v>0.52833116205032205</v>
      </c>
      <c r="P50" s="6">
        <f t="shared" si="15"/>
        <v>0.88640369242469197</v>
      </c>
    </row>
    <row r="51" spans="1:16" x14ac:dyDescent="0.25">
      <c r="A51" s="6">
        <f t="shared" si="2"/>
        <v>0.62089027737336999</v>
      </c>
      <c r="B51" s="6">
        <f t="shared" si="3"/>
        <v>0.683272380243515</v>
      </c>
      <c r="C51" s="6">
        <f t="shared" si="0"/>
        <v>0.573500794528086</v>
      </c>
      <c r="D51" s="6">
        <f t="shared" si="1"/>
        <v>0.793043965958944</v>
      </c>
      <c r="E51" s="6">
        <f t="shared" si="4"/>
        <v>0.49963234922654498</v>
      </c>
      <c r="F51" s="6">
        <f t="shared" si="5"/>
        <v>0.86691241126048502</v>
      </c>
      <c r="G51" s="6">
        <f t="shared" si="6"/>
        <v>0.76251916417436005</v>
      </c>
      <c r="H51" s="6">
        <f t="shared" si="7"/>
        <v>0.56672506970464209</v>
      </c>
      <c r="I51" s="6">
        <f t="shared" si="8"/>
        <v>0.95831325864407801</v>
      </c>
      <c r="J51" s="6">
        <f t="shared" si="9"/>
        <v>0.54789943651107609</v>
      </c>
      <c r="K51" s="6">
        <f t="shared" si="10"/>
        <v>0.97713889183764402</v>
      </c>
      <c r="L51" s="6">
        <f t="shared" si="11"/>
        <v>0.75819629825422497</v>
      </c>
      <c r="M51" s="6">
        <f t="shared" si="12"/>
        <v>0.55341922656832798</v>
      </c>
      <c r="N51" s="6">
        <f t="shared" si="13"/>
        <v>0.96297336994012195</v>
      </c>
      <c r="O51" s="6">
        <f t="shared" si="14"/>
        <v>0.55082062865748393</v>
      </c>
      <c r="P51" s="6">
        <f t="shared" si="15"/>
        <v>0.965571967850966</v>
      </c>
    </row>
    <row r="52" spans="1:16" x14ac:dyDescent="0.25">
      <c r="A52" s="6">
        <f t="shared" si="2"/>
        <v>0.66228296253159202</v>
      </c>
      <c r="B52" s="6">
        <f t="shared" si="3"/>
        <v>0.71296277855563095</v>
      </c>
      <c r="C52" s="6">
        <f t="shared" si="0"/>
        <v>0.59573345993430493</v>
      </c>
      <c r="D52" s="6">
        <f t="shared" si="1"/>
        <v>0.83019209717695697</v>
      </c>
      <c r="E52" s="6">
        <f t="shared" si="4"/>
        <v>0.51392774050507595</v>
      </c>
      <c r="F52" s="6">
        <f t="shared" si="5"/>
        <v>0.91199781660618595</v>
      </c>
      <c r="G52" s="6">
        <f t="shared" si="6"/>
        <v>0.81678021487210795</v>
      </c>
      <c r="H52" s="6">
        <f t="shared" si="7"/>
        <v>0.59854501955012895</v>
      </c>
      <c r="I52" s="6">
        <f t="shared" si="8"/>
        <v>1.0350154101940869</v>
      </c>
      <c r="J52" s="6">
        <f t="shared" si="9"/>
        <v>0.56234964837498391</v>
      </c>
      <c r="K52" s="6">
        <f t="shared" si="10"/>
        <v>1.071210781369232</v>
      </c>
      <c r="L52" s="6">
        <f t="shared" si="11"/>
        <v>0.80019873595729496</v>
      </c>
      <c r="M52" s="6">
        <f t="shared" si="12"/>
        <v>0.56837655762897799</v>
      </c>
      <c r="N52" s="6">
        <f t="shared" si="13"/>
        <v>1.032020914285612</v>
      </c>
      <c r="O52" s="6">
        <f t="shared" si="14"/>
        <v>0.57433022737941697</v>
      </c>
      <c r="P52" s="6">
        <f t="shared" si="15"/>
        <v>1.0260672445351728</v>
      </c>
    </row>
    <row r="53" spans="1:16" x14ac:dyDescent="0.25">
      <c r="A53" s="6">
        <f t="shared" si="2"/>
        <v>0.70367564768981405</v>
      </c>
      <c r="B53" s="6">
        <f t="shared" si="3"/>
        <v>0.74471959198198701</v>
      </c>
      <c r="C53" s="6">
        <f t="shared" si="0"/>
        <v>0.55808449034945196</v>
      </c>
      <c r="D53" s="6">
        <f t="shared" si="1"/>
        <v>0.93135469361452206</v>
      </c>
      <c r="E53" s="6">
        <f t="shared" si="4"/>
        <v>0.55836740028989595</v>
      </c>
      <c r="F53" s="6">
        <f t="shared" si="5"/>
        <v>0.93107178367407806</v>
      </c>
      <c r="G53" s="6">
        <f t="shared" si="6"/>
        <v>0.87629286951157703</v>
      </c>
      <c r="H53" s="6">
        <f t="shared" si="7"/>
        <v>0.63401085200450003</v>
      </c>
      <c r="I53" s="6">
        <f t="shared" si="8"/>
        <v>1.118574887018654</v>
      </c>
      <c r="J53" s="6">
        <f t="shared" si="9"/>
        <v>0.60971595048529803</v>
      </c>
      <c r="K53" s="6">
        <f t="shared" si="10"/>
        <v>1.142869788537856</v>
      </c>
      <c r="L53" s="6">
        <f t="shared" si="11"/>
        <v>0.86051725218772601</v>
      </c>
      <c r="M53" s="6">
        <f t="shared" si="12"/>
        <v>0.60059025541225197</v>
      </c>
      <c r="N53" s="6">
        <f t="shared" si="13"/>
        <v>1.1204442489632001</v>
      </c>
      <c r="O53" s="6">
        <f t="shared" si="14"/>
        <v>0.61349045763142396</v>
      </c>
      <c r="P53" s="6">
        <f t="shared" si="15"/>
        <v>1.1075440467440281</v>
      </c>
    </row>
    <row r="54" spans="1:16" x14ac:dyDescent="0.25">
      <c r="A54" s="6">
        <f t="shared" si="2"/>
        <v>0.74506833284806095</v>
      </c>
      <c r="B54" s="6">
        <f t="shared" si="3"/>
        <v>0.75842730079270104</v>
      </c>
      <c r="C54" s="6">
        <f t="shared" si="0"/>
        <v>0.57279260877952698</v>
      </c>
      <c r="D54" s="6">
        <f t="shared" si="1"/>
        <v>0.94406199280587511</v>
      </c>
      <c r="E54" s="6">
        <f t="shared" si="4"/>
        <v>0.57465410402683303</v>
      </c>
      <c r="F54" s="6">
        <f t="shared" si="5"/>
        <v>0.94220049755856905</v>
      </c>
      <c r="G54" s="6">
        <f t="shared" si="6"/>
        <v>0.91837821200057701</v>
      </c>
      <c r="H54" s="6">
        <f t="shared" si="7"/>
        <v>0.65688002519710809</v>
      </c>
      <c r="I54" s="6">
        <f t="shared" si="8"/>
        <v>1.1798763988040459</v>
      </c>
      <c r="J54" s="6">
        <f t="shared" si="9"/>
        <v>0.60853195205856103</v>
      </c>
      <c r="K54" s="6">
        <f t="shared" si="10"/>
        <v>1.228224471942593</v>
      </c>
      <c r="L54" s="6">
        <f t="shared" si="11"/>
        <v>0.88512025510447301</v>
      </c>
      <c r="M54" s="6">
        <f t="shared" si="12"/>
        <v>0.62018688902819297</v>
      </c>
      <c r="N54" s="6">
        <f t="shared" si="13"/>
        <v>1.150053621180753</v>
      </c>
      <c r="O54" s="6">
        <f t="shared" si="14"/>
        <v>0.62484286258519495</v>
      </c>
      <c r="P54" s="6">
        <f t="shared" si="15"/>
        <v>1.1453976476237511</v>
      </c>
    </row>
    <row r="55" spans="1:16" x14ac:dyDescent="0.25">
      <c r="A55" s="6">
        <f t="shared" si="2"/>
        <v>0.78646101800628598</v>
      </c>
      <c r="B55" s="6">
        <f t="shared" si="3"/>
        <v>0.75314599999682597</v>
      </c>
      <c r="C55" s="6">
        <f t="shared" si="0"/>
        <v>0.55154988834205498</v>
      </c>
      <c r="D55" s="6">
        <f t="shared" si="1"/>
        <v>0.95474211165159695</v>
      </c>
      <c r="E55" s="6">
        <f t="shared" si="4"/>
        <v>0.56207784027226992</v>
      </c>
      <c r="F55" s="6">
        <f t="shared" si="5"/>
        <v>0.94421415972138201</v>
      </c>
      <c r="G55" s="6">
        <f t="shared" si="6"/>
        <v>0.98342436223221297</v>
      </c>
      <c r="H55" s="6">
        <f t="shared" si="7"/>
        <v>0.69154499420747795</v>
      </c>
      <c r="I55" s="6">
        <f t="shared" si="8"/>
        <v>1.2753037302569479</v>
      </c>
      <c r="J55" s="6">
        <f t="shared" si="9"/>
        <v>0.617095009224923</v>
      </c>
      <c r="K55" s="6">
        <f t="shared" si="10"/>
        <v>1.3497537152395029</v>
      </c>
      <c r="L55" s="6">
        <f t="shared" si="11"/>
        <v>0.91850283474888295</v>
      </c>
      <c r="M55" s="6">
        <f t="shared" si="12"/>
        <v>0.62780758917249591</v>
      </c>
      <c r="N55" s="6">
        <f t="shared" si="13"/>
        <v>1.20919808032527</v>
      </c>
      <c r="O55" s="6">
        <f t="shared" si="14"/>
        <v>0.6408521347815499</v>
      </c>
      <c r="P55" s="6">
        <f t="shared" si="15"/>
        <v>1.196153534716216</v>
      </c>
    </row>
    <row r="56" spans="1:16" x14ac:dyDescent="0.25">
      <c r="A56" s="6">
        <f t="shared" si="2"/>
        <v>0.82785370316449203</v>
      </c>
      <c r="B56" s="6">
        <f t="shared" si="3"/>
        <v>0.78303684519160199</v>
      </c>
      <c r="C56" s="6">
        <f t="shared" si="0"/>
        <v>0.49078560378200997</v>
      </c>
      <c r="D56" s="6">
        <f t="shared" si="1"/>
        <v>1.075288086601194</v>
      </c>
      <c r="E56" s="6">
        <f t="shared" si="4"/>
        <v>0.56664504817039596</v>
      </c>
      <c r="F56" s="6">
        <f t="shared" si="5"/>
        <v>0.99942864221280803</v>
      </c>
      <c r="G56" s="6">
        <f t="shared" si="6"/>
        <v>1.03762549285461</v>
      </c>
      <c r="H56" s="6">
        <f t="shared" si="7"/>
        <v>0.72308650054396906</v>
      </c>
      <c r="I56" s="6">
        <f t="shared" si="8"/>
        <v>1.352164485165251</v>
      </c>
      <c r="J56" s="6">
        <f t="shared" si="9"/>
        <v>0.68437879138207403</v>
      </c>
      <c r="K56" s="6">
        <f t="shared" si="10"/>
        <v>1.390872194327146</v>
      </c>
      <c r="L56" s="6">
        <f t="shared" si="11"/>
        <v>0.95874004771043597</v>
      </c>
      <c r="M56" s="6">
        <f t="shared" si="12"/>
        <v>0.65167692378189601</v>
      </c>
      <c r="N56" s="6">
        <f t="shared" si="13"/>
        <v>1.2658031716389759</v>
      </c>
      <c r="O56" s="6">
        <f t="shared" si="14"/>
        <v>0.66231354054808</v>
      </c>
      <c r="P56" s="6">
        <f t="shared" si="15"/>
        <v>1.2551665548727919</v>
      </c>
    </row>
    <row r="57" spans="1:16" x14ac:dyDescent="0.25">
      <c r="A57" s="6">
        <f t="shared" si="2"/>
        <v>0.86924638832272205</v>
      </c>
      <c r="B57" s="6">
        <f t="shared" si="3"/>
        <v>0.83364222219957096</v>
      </c>
      <c r="C57" s="6">
        <f t="shared" si="0"/>
        <v>0.51727473677025504</v>
      </c>
      <c r="D57" s="6">
        <f t="shared" si="1"/>
        <v>1.1500097076288869</v>
      </c>
      <c r="E57" s="6">
        <f t="shared" si="4"/>
        <v>0.61329568519514599</v>
      </c>
      <c r="F57" s="6">
        <f t="shared" si="5"/>
        <v>1.053988759203996</v>
      </c>
      <c r="G57" s="6">
        <f t="shared" si="6"/>
        <v>1.1226608796620601</v>
      </c>
      <c r="H57" s="6">
        <f t="shared" si="7"/>
        <v>0.76594753478399213</v>
      </c>
      <c r="I57" s="6">
        <f t="shared" si="8"/>
        <v>1.479374224540128</v>
      </c>
      <c r="J57" s="6">
        <f t="shared" si="9"/>
        <v>0.69542170434526607</v>
      </c>
      <c r="K57" s="6">
        <f t="shared" si="10"/>
        <v>1.549900054978854</v>
      </c>
      <c r="L57" s="6">
        <f t="shared" si="11"/>
        <v>0.99592504297636797</v>
      </c>
      <c r="M57" s="6">
        <f t="shared" si="12"/>
        <v>0.67700506774864699</v>
      </c>
      <c r="N57" s="6">
        <f t="shared" si="13"/>
        <v>1.3148450182040889</v>
      </c>
      <c r="O57" s="6">
        <f t="shared" si="14"/>
        <v>0.67195054018021905</v>
      </c>
      <c r="P57" s="6">
        <f t="shared" si="15"/>
        <v>1.3198995457725169</v>
      </c>
    </row>
    <row r="58" spans="1:16" x14ac:dyDescent="0.25">
      <c r="A58" s="6">
        <f t="shared" si="2"/>
        <v>0.91063907348097095</v>
      </c>
      <c r="B58" s="6">
        <f t="shared" si="3"/>
        <v>0.88364358031372803</v>
      </c>
      <c r="C58" s="6">
        <f t="shared" si="0"/>
        <v>0.50079033952336105</v>
      </c>
      <c r="D58" s="6">
        <f t="shared" si="1"/>
        <v>1.266496821104095</v>
      </c>
      <c r="E58" s="6">
        <f t="shared" si="4"/>
        <v>0.68666178617201501</v>
      </c>
      <c r="F58" s="6">
        <f t="shared" si="5"/>
        <v>1.080625374455441</v>
      </c>
      <c r="G58" s="6">
        <f t="shared" si="6"/>
        <v>1.1641153761570899</v>
      </c>
      <c r="H58" s="6">
        <f t="shared" si="7"/>
        <v>0.78696901273930986</v>
      </c>
      <c r="I58" s="6">
        <f t="shared" si="8"/>
        <v>1.54126173957487</v>
      </c>
      <c r="J58" s="6">
        <f t="shared" si="9"/>
        <v>0.71360458003083593</v>
      </c>
      <c r="K58" s="6">
        <f t="shared" si="10"/>
        <v>1.6146261722833439</v>
      </c>
      <c r="L58" s="6">
        <f t="shared" si="11"/>
        <v>1.02910730329866</v>
      </c>
      <c r="M58" s="6">
        <f t="shared" si="12"/>
        <v>0.68700986931177899</v>
      </c>
      <c r="N58" s="6">
        <f t="shared" si="13"/>
        <v>1.3712047372855409</v>
      </c>
      <c r="O58" s="6">
        <f t="shared" si="14"/>
        <v>0.70059522355605597</v>
      </c>
      <c r="P58" s="6">
        <f t="shared" si="15"/>
        <v>1.3576193830412639</v>
      </c>
    </row>
    <row r="59" spans="1:16" x14ac:dyDescent="0.25">
      <c r="A59" s="6">
        <f t="shared" si="2"/>
        <v>0.95203175863915301</v>
      </c>
      <c r="B59" s="6">
        <f t="shared" si="3"/>
        <v>0.88931438738650104</v>
      </c>
      <c r="C59" s="6">
        <f t="shared" si="0"/>
        <v>0.60402380807577205</v>
      </c>
      <c r="D59" s="6">
        <f t="shared" si="1"/>
        <v>1.17460496669723</v>
      </c>
      <c r="E59" s="6">
        <f t="shared" si="4"/>
        <v>0.72747088389583803</v>
      </c>
      <c r="F59" s="6">
        <f t="shared" si="5"/>
        <v>1.0511578908771639</v>
      </c>
      <c r="G59" s="6">
        <f t="shared" si="6"/>
        <v>1.2502253632527001</v>
      </c>
      <c r="H59" s="6">
        <f t="shared" si="7"/>
        <v>0.82426198617213109</v>
      </c>
      <c r="I59" s="6">
        <f t="shared" si="8"/>
        <v>1.6761887403332691</v>
      </c>
      <c r="J59" s="6">
        <f t="shared" si="9"/>
        <v>0.6622152195742731</v>
      </c>
      <c r="K59" s="6">
        <f t="shared" si="10"/>
        <v>1.8382355069311269</v>
      </c>
      <c r="L59" s="6">
        <f t="shared" si="11"/>
        <v>1.0384170630664</v>
      </c>
      <c r="M59" s="6">
        <f t="shared" si="12"/>
        <v>0.71159215255964503</v>
      </c>
      <c r="N59" s="6">
        <f t="shared" si="13"/>
        <v>1.3652419735731551</v>
      </c>
      <c r="O59" s="6">
        <f t="shared" si="14"/>
        <v>0.6732556528115341</v>
      </c>
      <c r="P59" s="6">
        <f t="shared" si="15"/>
        <v>1.403578473321266</v>
      </c>
    </row>
    <row r="60" spans="1:16" x14ac:dyDescent="0.25">
      <c r="A60" s="6">
        <f t="shared" si="2"/>
        <v>0.99342444379738704</v>
      </c>
      <c r="B60" s="6">
        <f t="shared" si="3"/>
        <v>0.87580297580506805</v>
      </c>
      <c r="C60" s="6">
        <f t="shared" si="0"/>
        <v>0.55276020344568311</v>
      </c>
      <c r="D60" s="6">
        <f t="shared" si="1"/>
        <v>1.198845748164453</v>
      </c>
      <c r="E60" s="6">
        <f t="shared" si="4"/>
        <v>0.73077627810903412</v>
      </c>
      <c r="F60" s="6">
        <f t="shared" si="5"/>
        <v>1.020829673501102</v>
      </c>
      <c r="G60" s="6">
        <f t="shared" si="6"/>
        <v>1.27799370636309</v>
      </c>
      <c r="H60" s="6">
        <f t="shared" si="7"/>
        <v>0.84252313713029103</v>
      </c>
      <c r="I60" s="6">
        <f t="shared" si="8"/>
        <v>1.7134642755958889</v>
      </c>
      <c r="J60" s="6">
        <f t="shared" si="9"/>
        <v>0.76444570666794298</v>
      </c>
      <c r="K60" s="6">
        <f t="shared" si="10"/>
        <v>1.7915417060582368</v>
      </c>
      <c r="L60" s="6">
        <f t="shared" si="11"/>
        <v>1.0333627898367099</v>
      </c>
      <c r="M60" s="6">
        <f t="shared" si="12"/>
        <v>0.70214277081489396</v>
      </c>
      <c r="N60" s="6">
        <f t="shared" si="13"/>
        <v>1.3645828088585259</v>
      </c>
      <c r="O60" s="6">
        <f t="shared" si="14"/>
        <v>0.64802854578874791</v>
      </c>
      <c r="P60" s="6">
        <f t="shared" si="15"/>
        <v>1.4186970338846718</v>
      </c>
    </row>
  </sheetData>
  <mergeCells count="7">
    <mergeCell ref="B7:C7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means 8</vt:lpstr>
      <vt:lpstr>means 16</vt:lpstr>
      <vt:lpstr>means 32</vt:lpstr>
      <vt:lpstr>means 64</vt:lpstr>
      <vt:lpstr>means 128</vt:lpstr>
      <vt:lpstr>means 256</vt:lpstr>
      <vt:lpstr>means 512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Vruj</dc:creator>
  <cp:lastModifiedBy>Vruj</cp:lastModifiedBy>
  <dcterms:created xsi:type="dcterms:W3CDTF">2018-12-17T16:22:12Z</dcterms:created>
  <dcterms:modified xsi:type="dcterms:W3CDTF">2019-03-14T14:07:28Z</dcterms:modified>
</cp:coreProperties>
</file>