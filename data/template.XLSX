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8800" windowHeight="13710" activeTab="7"/>
  </bookViews>
  <sheets>
    <sheet name="means 8" sheetId="22" r:id="rId1"/>
    <sheet name="means 16" sheetId="23" r:id="rId2"/>
    <sheet name="means 32" sheetId="24" r:id="rId3"/>
    <sheet name="means 64" sheetId="25" r:id="rId4"/>
    <sheet name="means 128" sheetId="26" r:id="rId5"/>
    <sheet name="means 256" sheetId="27" r:id="rId6"/>
    <sheet name="means 512" sheetId="28" r:id="rId7"/>
    <sheet name="means 1024" sheetId="29" r:id="rId8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0" i="29" l="1"/>
  <c r="O60" i="29" s="1"/>
  <c r="G60" i="29"/>
  <c r="K60" i="29" s="1"/>
  <c r="B60" i="29"/>
  <c r="C60" i="29" s="1"/>
  <c r="A60" i="29"/>
  <c r="L59" i="29"/>
  <c r="O59" i="29" s="1"/>
  <c r="G59" i="29"/>
  <c r="K59" i="29" s="1"/>
  <c r="B59" i="29"/>
  <c r="C59" i="29" s="1"/>
  <c r="A59" i="29"/>
  <c r="L58" i="29"/>
  <c r="O58" i="29" s="1"/>
  <c r="G58" i="29"/>
  <c r="K58" i="29" s="1"/>
  <c r="B58" i="29"/>
  <c r="C58" i="29" s="1"/>
  <c r="A58" i="29"/>
  <c r="L57" i="29"/>
  <c r="O57" i="29" s="1"/>
  <c r="G57" i="29"/>
  <c r="K57" i="29" s="1"/>
  <c r="B57" i="29"/>
  <c r="C57" i="29" s="1"/>
  <c r="A57" i="29"/>
  <c r="L56" i="29"/>
  <c r="O56" i="29" s="1"/>
  <c r="G56" i="29"/>
  <c r="K56" i="29" s="1"/>
  <c r="B56" i="29"/>
  <c r="D56" i="29" s="1"/>
  <c r="A56" i="29"/>
  <c r="L55" i="29"/>
  <c r="O55" i="29" s="1"/>
  <c r="G55" i="29"/>
  <c r="K55" i="29" s="1"/>
  <c r="B55" i="29"/>
  <c r="D55" i="29" s="1"/>
  <c r="A55" i="29"/>
  <c r="L54" i="29"/>
  <c r="O54" i="29" s="1"/>
  <c r="G54" i="29"/>
  <c r="K54" i="29" s="1"/>
  <c r="B54" i="29"/>
  <c r="D54" i="29" s="1"/>
  <c r="A54" i="29"/>
  <c r="L53" i="29"/>
  <c r="O53" i="29" s="1"/>
  <c r="G53" i="29"/>
  <c r="K53" i="29" s="1"/>
  <c r="B53" i="29"/>
  <c r="F53" i="29" s="1"/>
  <c r="A53" i="29"/>
  <c r="L52" i="29"/>
  <c r="O52" i="29" s="1"/>
  <c r="G52" i="29"/>
  <c r="K52" i="29" s="1"/>
  <c r="B52" i="29"/>
  <c r="A52" i="29"/>
  <c r="L51" i="29"/>
  <c r="G51" i="29"/>
  <c r="K51" i="29" s="1"/>
  <c r="B51" i="29"/>
  <c r="F51" i="29" s="1"/>
  <c r="A51" i="29"/>
  <c r="L50" i="29"/>
  <c r="P50" i="29" s="1"/>
  <c r="G50" i="29"/>
  <c r="K50" i="29" s="1"/>
  <c r="B50" i="29"/>
  <c r="A50" i="29"/>
  <c r="L49" i="29"/>
  <c r="P49" i="29" s="1"/>
  <c r="G49" i="29"/>
  <c r="K49" i="29" s="1"/>
  <c r="B49" i="29"/>
  <c r="F49" i="29" s="1"/>
  <c r="A49" i="29"/>
  <c r="L48" i="29"/>
  <c r="P48" i="29" s="1"/>
  <c r="G48" i="29"/>
  <c r="K48" i="29" s="1"/>
  <c r="B48" i="29"/>
  <c r="F48" i="29" s="1"/>
  <c r="A48" i="29"/>
  <c r="L47" i="29"/>
  <c r="P47" i="29" s="1"/>
  <c r="G47" i="29"/>
  <c r="K47" i="29" s="1"/>
  <c r="B47" i="29"/>
  <c r="F47" i="29" s="1"/>
  <c r="A47" i="29"/>
  <c r="L46" i="29"/>
  <c r="P46" i="29" s="1"/>
  <c r="G46" i="29"/>
  <c r="K46" i="29" s="1"/>
  <c r="B46" i="29"/>
  <c r="F46" i="29" s="1"/>
  <c r="A46" i="29"/>
  <c r="L45" i="29"/>
  <c r="P45" i="29" s="1"/>
  <c r="G45" i="29"/>
  <c r="K45" i="29" s="1"/>
  <c r="B45" i="29"/>
  <c r="F45" i="29" s="1"/>
  <c r="A45" i="29"/>
  <c r="L44" i="29"/>
  <c r="P44" i="29" s="1"/>
  <c r="G44" i="29"/>
  <c r="K44" i="29" s="1"/>
  <c r="B44" i="29"/>
  <c r="F44" i="29" s="1"/>
  <c r="A44" i="29"/>
  <c r="L43" i="29"/>
  <c r="P43" i="29" s="1"/>
  <c r="G43" i="29"/>
  <c r="K43" i="29" s="1"/>
  <c r="B43" i="29"/>
  <c r="F43" i="29" s="1"/>
  <c r="A43" i="29"/>
  <c r="L42" i="29"/>
  <c r="P42" i="29" s="1"/>
  <c r="G42" i="29"/>
  <c r="K42" i="29" s="1"/>
  <c r="B42" i="29"/>
  <c r="F42" i="29" s="1"/>
  <c r="A42" i="29"/>
  <c r="L41" i="29"/>
  <c r="P41" i="29" s="1"/>
  <c r="G41" i="29"/>
  <c r="K41" i="29" s="1"/>
  <c r="B41" i="29"/>
  <c r="F41" i="29" s="1"/>
  <c r="A41" i="29"/>
  <c r="L40" i="29"/>
  <c r="P40" i="29" s="1"/>
  <c r="G40" i="29"/>
  <c r="K40" i="29" s="1"/>
  <c r="B40" i="29"/>
  <c r="F40" i="29" s="1"/>
  <c r="A40" i="29"/>
  <c r="L39" i="29"/>
  <c r="P39" i="29" s="1"/>
  <c r="G39" i="29"/>
  <c r="K39" i="29" s="1"/>
  <c r="B39" i="29"/>
  <c r="F39" i="29" s="1"/>
  <c r="A39" i="29"/>
  <c r="L38" i="29"/>
  <c r="P38" i="29" s="1"/>
  <c r="G38" i="29"/>
  <c r="K38" i="29" s="1"/>
  <c r="B38" i="29"/>
  <c r="F38" i="29" s="1"/>
  <c r="A38" i="29"/>
  <c r="L37" i="29"/>
  <c r="P37" i="29" s="1"/>
  <c r="G37" i="29"/>
  <c r="K37" i="29" s="1"/>
  <c r="B37" i="29"/>
  <c r="F37" i="29" s="1"/>
  <c r="A37" i="29"/>
  <c r="J39" i="29" l="1"/>
  <c r="J49" i="29"/>
  <c r="H53" i="29"/>
  <c r="J45" i="29"/>
  <c r="J51" i="29"/>
  <c r="H60" i="29"/>
  <c r="H52" i="29"/>
  <c r="H55" i="29"/>
  <c r="N56" i="29"/>
  <c r="J38" i="29"/>
  <c r="J46" i="29"/>
  <c r="H50" i="29"/>
  <c r="J55" i="29"/>
  <c r="H58" i="29"/>
  <c r="J41" i="29"/>
  <c r="N54" i="29"/>
  <c r="H57" i="29"/>
  <c r="H51" i="29"/>
  <c r="J56" i="29"/>
  <c r="H59" i="29"/>
  <c r="J40" i="29"/>
  <c r="J43" i="29"/>
  <c r="J44" i="29"/>
  <c r="J48" i="29"/>
  <c r="J54" i="29"/>
  <c r="H37" i="29"/>
  <c r="H38" i="29"/>
  <c r="H41" i="29"/>
  <c r="H42" i="29"/>
  <c r="H45" i="29"/>
  <c r="H46" i="29"/>
  <c r="H49" i="29"/>
  <c r="J50" i="29"/>
  <c r="J52" i="29"/>
  <c r="J53" i="29"/>
  <c r="N55" i="29"/>
  <c r="H56" i="29"/>
  <c r="J57" i="29"/>
  <c r="J59" i="29"/>
  <c r="J37" i="29"/>
  <c r="J42" i="29"/>
  <c r="H39" i="29"/>
  <c r="H40" i="29"/>
  <c r="H43" i="29"/>
  <c r="H44" i="29"/>
  <c r="H47" i="29"/>
  <c r="H48" i="29"/>
  <c r="N52" i="29"/>
  <c r="N53" i="29"/>
  <c r="H54" i="29"/>
  <c r="J58" i="29"/>
  <c r="J60" i="29"/>
  <c r="J47" i="29"/>
  <c r="O37" i="29"/>
  <c r="M37" i="29"/>
  <c r="C38" i="29"/>
  <c r="E38" i="29"/>
  <c r="O39" i="29"/>
  <c r="M39" i="29"/>
  <c r="C40" i="29"/>
  <c r="E40" i="29"/>
  <c r="O41" i="29"/>
  <c r="M41" i="29"/>
  <c r="C42" i="29"/>
  <c r="E42" i="29"/>
  <c r="O43" i="29"/>
  <c r="M43" i="29"/>
  <c r="C44" i="29"/>
  <c r="E44" i="29"/>
  <c r="O45" i="29"/>
  <c r="M45" i="29"/>
  <c r="C46" i="29"/>
  <c r="E46" i="29"/>
  <c r="O47" i="29"/>
  <c r="M47" i="29"/>
  <c r="C48" i="29"/>
  <c r="E48" i="29"/>
  <c r="O49" i="29"/>
  <c r="M49" i="29"/>
  <c r="C50" i="29"/>
  <c r="E50" i="29"/>
  <c r="O51" i="29"/>
  <c r="M51" i="29"/>
  <c r="C52" i="29"/>
  <c r="E52" i="29"/>
  <c r="N37" i="29"/>
  <c r="D38" i="29"/>
  <c r="N39" i="29"/>
  <c r="D40" i="29"/>
  <c r="N41" i="29"/>
  <c r="D42" i="29"/>
  <c r="N43" i="29"/>
  <c r="D44" i="29"/>
  <c r="N45" i="29"/>
  <c r="D46" i="29"/>
  <c r="N47" i="29"/>
  <c r="D48" i="29"/>
  <c r="N49" i="29"/>
  <c r="D50" i="29"/>
  <c r="N51" i="29"/>
  <c r="D52" i="29"/>
  <c r="D53" i="29"/>
  <c r="C53" i="29"/>
  <c r="E53" i="29"/>
  <c r="C37" i="29"/>
  <c r="E37" i="29"/>
  <c r="O38" i="29"/>
  <c r="M38" i="29"/>
  <c r="C39" i="29"/>
  <c r="E39" i="29"/>
  <c r="O40" i="29"/>
  <c r="M40" i="29"/>
  <c r="C41" i="29"/>
  <c r="E41" i="29"/>
  <c r="O42" i="29"/>
  <c r="M42" i="29"/>
  <c r="C43" i="29"/>
  <c r="E43" i="29"/>
  <c r="O44" i="29"/>
  <c r="M44" i="29"/>
  <c r="C45" i="29"/>
  <c r="E45" i="29"/>
  <c r="O46" i="29"/>
  <c r="M46" i="29"/>
  <c r="C47" i="29"/>
  <c r="E47" i="29"/>
  <c r="O48" i="29"/>
  <c r="M48" i="29"/>
  <c r="C49" i="29"/>
  <c r="E49" i="29"/>
  <c r="F50" i="29"/>
  <c r="O50" i="29"/>
  <c r="M50" i="29"/>
  <c r="C51" i="29"/>
  <c r="E51" i="29"/>
  <c r="P51" i="29"/>
  <c r="F52" i="29"/>
  <c r="D37" i="29"/>
  <c r="N38" i="29"/>
  <c r="D39" i="29"/>
  <c r="N40" i="29"/>
  <c r="D41" i="29"/>
  <c r="N42" i="29"/>
  <c r="D43" i="29"/>
  <c r="N44" i="29"/>
  <c r="D45" i="29"/>
  <c r="N46" i="29"/>
  <c r="D47" i="29"/>
  <c r="N48" i="29"/>
  <c r="D49" i="29"/>
  <c r="N50" i="29"/>
  <c r="D51" i="29"/>
  <c r="P52" i="29"/>
  <c r="P53" i="29"/>
  <c r="P54" i="29"/>
  <c r="P55" i="29"/>
  <c r="P56" i="29"/>
  <c r="D57" i="29"/>
  <c r="P57" i="29"/>
  <c r="D58" i="29"/>
  <c r="P58" i="29"/>
  <c r="D59" i="29"/>
  <c r="P59" i="29"/>
  <c r="D60" i="29"/>
  <c r="P60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M52" i="29"/>
  <c r="I53" i="29"/>
  <c r="M53" i="29"/>
  <c r="E54" i="29"/>
  <c r="I54" i="29"/>
  <c r="M54" i="29"/>
  <c r="E55" i="29"/>
  <c r="I55" i="29"/>
  <c r="M55" i="29"/>
  <c r="E56" i="29"/>
  <c r="I56" i="29"/>
  <c r="M56" i="29"/>
  <c r="E57" i="29"/>
  <c r="I57" i="29"/>
  <c r="M57" i="29"/>
  <c r="E58" i="29"/>
  <c r="I58" i="29"/>
  <c r="M58" i="29"/>
  <c r="E59" i="29"/>
  <c r="I59" i="29"/>
  <c r="M59" i="29"/>
  <c r="E60" i="29"/>
  <c r="I60" i="29"/>
  <c r="M60" i="29"/>
  <c r="F56" i="29"/>
  <c r="N59" i="29"/>
  <c r="F54" i="29"/>
  <c r="F55" i="29"/>
  <c r="F57" i="29"/>
  <c r="N57" i="29"/>
  <c r="F58" i="29"/>
  <c r="N58" i="29"/>
  <c r="F59" i="29"/>
  <c r="F60" i="29"/>
  <c r="N60" i="29"/>
  <c r="C54" i="29"/>
  <c r="C55" i="29"/>
  <c r="C56" i="29"/>
  <c r="L60" i="28"/>
  <c r="P60" i="28" s="1"/>
  <c r="H60" i="28"/>
  <c r="G60" i="28"/>
  <c r="K60" i="28" s="1"/>
  <c r="B60" i="28"/>
  <c r="F60" i="28" s="1"/>
  <c r="A60" i="28"/>
  <c r="P59" i="28"/>
  <c r="L59" i="28"/>
  <c r="O59" i="28" s="1"/>
  <c r="J59" i="28"/>
  <c r="G59" i="28"/>
  <c r="K59" i="28" s="1"/>
  <c r="B59" i="28"/>
  <c r="F59" i="28" s="1"/>
  <c r="A59" i="28"/>
  <c r="L58" i="28"/>
  <c r="O58" i="28" s="1"/>
  <c r="J58" i="28"/>
  <c r="H58" i="28"/>
  <c r="G58" i="28"/>
  <c r="K58" i="28" s="1"/>
  <c r="B58" i="28"/>
  <c r="F58" i="28" s="1"/>
  <c r="A58" i="28"/>
  <c r="P57" i="28"/>
  <c r="L57" i="28"/>
  <c r="O57" i="28" s="1"/>
  <c r="G57" i="28"/>
  <c r="K57" i="28" s="1"/>
  <c r="B57" i="28"/>
  <c r="F57" i="28" s="1"/>
  <c r="A57" i="28"/>
  <c r="L56" i="28"/>
  <c r="O56" i="28" s="1"/>
  <c r="H56" i="28"/>
  <c r="G56" i="28"/>
  <c r="K56" i="28" s="1"/>
  <c r="B56" i="28"/>
  <c r="F56" i="28" s="1"/>
  <c r="A56" i="28"/>
  <c r="P55" i="28"/>
  <c r="L55" i="28"/>
  <c r="O55" i="28" s="1"/>
  <c r="G55" i="28"/>
  <c r="K55" i="28" s="1"/>
  <c r="B55" i="28"/>
  <c r="F55" i="28" s="1"/>
  <c r="A55" i="28"/>
  <c r="L54" i="28"/>
  <c r="O54" i="28" s="1"/>
  <c r="J54" i="28"/>
  <c r="H54" i="28"/>
  <c r="G54" i="28"/>
  <c r="K54" i="28" s="1"/>
  <c r="B54" i="28"/>
  <c r="F54" i="28" s="1"/>
  <c r="A54" i="28"/>
  <c r="P53" i="28"/>
  <c r="L53" i="28"/>
  <c r="O53" i="28" s="1"/>
  <c r="G53" i="28"/>
  <c r="K53" i="28" s="1"/>
  <c r="B53" i="28"/>
  <c r="F53" i="28" s="1"/>
  <c r="A53" i="28"/>
  <c r="L52" i="28"/>
  <c r="O52" i="28" s="1"/>
  <c r="H52" i="28"/>
  <c r="G52" i="28"/>
  <c r="K52" i="28" s="1"/>
  <c r="B52" i="28"/>
  <c r="F52" i="28" s="1"/>
  <c r="A52" i="28"/>
  <c r="P51" i="28"/>
  <c r="L51" i="28"/>
  <c r="O51" i="28" s="1"/>
  <c r="G51" i="28"/>
  <c r="K51" i="28" s="1"/>
  <c r="B51" i="28"/>
  <c r="F51" i="28" s="1"/>
  <c r="A51" i="28"/>
  <c r="L50" i="28"/>
  <c r="O50" i="28" s="1"/>
  <c r="J50" i="28"/>
  <c r="H50" i="28"/>
  <c r="G50" i="28"/>
  <c r="K50" i="28" s="1"/>
  <c r="B50" i="28"/>
  <c r="F50" i="28" s="1"/>
  <c r="A50" i="28"/>
  <c r="P49" i="28"/>
  <c r="L49" i="28"/>
  <c r="O49" i="28" s="1"/>
  <c r="J49" i="28"/>
  <c r="G49" i="28"/>
  <c r="K49" i="28" s="1"/>
  <c r="B49" i="28"/>
  <c r="F49" i="28" s="1"/>
  <c r="A49" i="28"/>
  <c r="L48" i="28"/>
  <c r="O48" i="28" s="1"/>
  <c r="H48" i="28"/>
  <c r="G48" i="28"/>
  <c r="K48" i="28" s="1"/>
  <c r="B48" i="28"/>
  <c r="F48" i="28" s="1"/>
  <c r="A48" i="28"/>
  <c r="P47" i="28"/>
  <c r="L47" i="28"/>
  <c r="O47" i="28" s="1"/>
  <c r="G47" i="28"/>
  <c r="K47" i="28" s="1"/>
  <c r="B47" i="28"/>
  <c r="F47" i="28" s="1"/>
  <c r="A47" i="28"/>
  <c r="L46" i="28"/>
  <c r="O46" i="28" s="1"/>
  <c r="J46" i="28"/>
  <c r="H46" i="28"/>
  <c r="G46" i="28"/>
  <c r="K46" i="28" s="1"/>
  <c r="B46" i="28"/>
  <c r="F46" i="28" s="1"/>
  <c r="A46" i="28"/>
  <c r="P45" i="28"/>
  <c r="L45" i="28"/>
  <c r="O45" i="28" s="1"/>
  <c r="J45" i="28"/>
  <c r="G45" i="28"/>
  <c r="K45" i="28" s="1"/>
  <c r="B45" i="28"/>
  <c r="F45" i="28" s="1"/>
  <c r="A45" i="28"/>
  <c r="L44" i="28"/>
  <c r="O44" i="28" s="1"/>
  <c r="H44" i="28"/>
  <c r="G44" i="28"/>
  <c r="K44" i="28" s="1"/>
  <c r="B44" i="28"/>
  <c r="F44" i="28" s="1"/>
  <c r="A44" i="28"/>
  <c r="P43" i="28"/>
  <c r="L43" i="28"/>
  <c r="O43" i="28" s="1"/>
  <c r="G43" i="28"/>
  <c r="K43" i="28" s="1"/>
  <c r="B43" i="28"/>
  <c r="F43" i="28" s="1"/>
  <c r="A43" i="28"/>
  <c r="L42" i="28"/>
  <c r="O42" i="28" s="1"/>
  <c r="H42" i="28"/>
  <c r="G42" i="28"/>
  <c r="K42" i="28" s="1"/>
  <c r="B42" i="28"/>
  <c r="F42" i="28" s="1"/>
  <c r="A42" i="28"/>
  <c r="P41" i="28"/>
  <c r="L41" i="28"/>
  <c r="O41" i="28" s="1"/>
  <c r="J41" i="28"/>
  <c r="G41" i="28"/>
  <c r="K41" i="28" s="1"/>
  <c r="B41" i="28"/>
  <c r="F41" i="28" s="1"/>
  <c r="A41" i="28"/>
  <c r="L40" i="28"/>
  <c r="O40" i="28" s="1"/>
  <c r="J40" i="28"/>
  <c r="H40" i="28"/>
  <c r="G40" i="28"/>
  <c r="K40" i="28" s="1"/>
  <c r="B40" i="28"/>
  <c r="F40" i="28" s="1"/>
  <c r="A40" i="28"/>
  <c r="P39" i="28"/>
  <c r="L39" i="28"/>
  <c r="O39" i="28" s="1"/>
  <c r="G39" i="28"/>
  <c r="K39" i="28" s="1"/>
  <c r="B39" i="28"/>
  <c r="F39" i="28" s="1"/>
  <c r="A39" i="28"/>
  <c r="L38" i="28"/>
  <c r="O38" i="28" s="1"/>
  <c r="H38" i="28"/>
  <c r="G38" i="28"/>
  <c r="K38" i="28" s="1"/>
  <c r="B38" i="28"/>
  <c r="F38" i="28" s="1"/>
  <c r="A38" i="28"/>
  <c r="P37" i="28"/>
  <c r="L37" i="28"/>
  <c r="O37" i="28" s="1"/>
  <c r="J37" i="28"/>
  <c r="G37" i="28"/>
  <c r="K37" i="28" s="1"/>
  <c r="B37" i="28"/>
  <c r="F37" i="28" s="1"/>
  <c r="A37" i="28"/>
  <c r="L60" i="27"/>
  <c r="P60" i="27" s="1"/>
  <c r="G60" i="27"/>
  <c r="K60" i="27" s="1"/>
  <c r="B60" i="27"/>
  <c r="F60" i="27" s="1"/>
  <c r="A60" i="27"/>
  <c r="L59" i="27"/>
  <c r="P59" i="27" s="1"/>
  <c r="J59" i="27"/>
  <c r="H59" i="27"/>
  <c r="G59" i="27"/>
  <c r="I59" i="27" s="1"/>
  <c r="B59" i="27"/>
  <c r="F59" i="27" s="1"/>
  <c r="A59" i="27"/>
  <c r="L58" i="27"/>
  <c r="P58" i="27" s="1"/>
  <c r="G58" i="27"/>
  <c r="K58" i="27" s="1"/>
  <c r="B58" i="27"/>
  <c r="F58" i="27" s="1"/>
  <c r="A58" i="27"/>
  <c r="L57" i="27"/>
  <c r="P57" i="27" s="1"/>
  <c r="G57" i="27"/>
  <c r="I57" i="27" s="1"/>
  <c r="B57" i="27"/>
  <c r="F57" i="27" s="1"/>
  <c r="A57" i="27"/>
  <c r="L56" i="27"/>
  <c r="P56" i="27" s="1"/>
  <c r="G56" i="27"/>
  <c r="K56" i="27" s="1"/>
  <c r="B56" i="27"/>
  <c r="F56" i="27" s="1"/>
  <c r="A56" i="27"/>
  <c r="L55" i="27"/>
  <c r="P55" i="27" s="1"/>
  <c r="G55" i="27"/>
  <c r="I55" i="27" s="1"/>
  <c r="B55" i="27"/>
  <c r="F55" i="27" s="1"/>
  <c r="A55" i="27"/>
  <c r="L54" i="27"/>
  <c r="P54" i="27" s="1"/>
  <c r="G54" i="27"/>
  <c r="K54" i="27" s="1"/>
  <c r="B54" i="27"/>
  <c r="F54" i="27" s="1"/>
  <c r="A54" i="27"/>
  <c r="L53" i="27"/>
  <c r="P53" i="27" s="1"/>
  <c r="G53" i="27"/>
  <c r="I53" i="27" s="1"/>
  <c r="B53" i="27"/>
  <c r="F53" i="27" s="1"/>
  <c r="A53" i="27"/>
  <c r="L52" i="27"/>
  <c r="P52" i="27" s="1"/>
  <c r="G52" i="27"/>
  <c r="K52" i="27" s="1"/>
  <c r="B52" i="27"/>
  <c r="F52" i="27" s="1"/>
  <c r="A52" i="27"/>
  <c r="L51" i="27"/>
  <c r="P51" i="27" s="1"/>
  <c r="G51" i="27"/>
  <c r="I51" i="27" s="1"/>
  <c r="B51" i="27"/>
  <c r="F51" i="27" s="1"/>
  <c r="A51" i="27"/>
  <c r="L50" i="27"/>
  <c r="P50" i="27" s="1"/>
  <c r="I50" i="27"/>
  <c r="G50" i="27"/>
  <c r="K50" i="27" s="1"/>
  <c r="B50" i="27"/>
  <c r="F50" i="27" s="1"/>
  <c r="A50" i="27"/>
  <c r="L49" i="27"/>
  <c r="P49" i="27" s="1"/>
  <c r="G49" i="27"/>
  <c r="I49" i="27" s="1"/>
  <c r="B49" i="27"/>
  <c r="F49" i="27" s="1"/>
  <c r="A49" i="27"/>
  <c r="L48" i="27"/>
  <c r="P48" i="27" s="1"/>
  <c r="G48" i="27"/>
  <c r="K48" i="27" s="1"/>
  <c r="B48" i="27"/>
  <c r="F48" i="27" s="1"/>
  <c r="A48" i="27"/>
  <c r="L47" i="27"/>
  <c r="P47" i="27" s="1"/>
  <c r="G47" i="27"/>
  <c r="I47" i="27" s="1"/>
  <c r="B47" i="27"/>
  <c r="F47" i="27" s="1"/>
  <c r="A47" i="27"/>
  <c r="L46" i="27"/>
  <c r="P46" i="27" s="1"/>
  <c r="G46" i="27"/>
  <c r="K46" i="27" s="1"/>
  <c r="B46" i="27"/>
  <c r="F46" i="27" s="1"/>
  <c r="A46" i="27"/>
  <c r="L45" i="27"/>
  <c r="P45" i="27" s="1"/>
  <c r="G45" i="27"/>
  <c r="I45" i="27" s="1"/>
  <c r="B45" i="27"/>
  <c r="F45" i="27" s="1"/>
  <c r="A45" i="27"/>
  <c r="L44" i="27"/>
  <c r="P44" i="27" s="1"/>
  <c r="G44" i="27"/>
  <c r="K44" i="27" s="1"/>
  <c r="B44" i="27"/>
  <c r="F44" i="27" s="1"/>
  <c r="A44" i="27"/>
  <c r="L43" i="27"/>
  <c r="P43" i="27" s="1"/>
  <c r="G43" i="27"/>
  <c r="I43" i="27" s="1"/>
  <c r="B43" i="27"/>
  <c r="F43" i="27" s="1"/>
  <c r="A43" i="27"/>
  <c r="L42" i="27"/>
  <c r="P42" i="27" s="1"/>
  <c r="G42" i="27"/>
  <c r="K42" i="27" s="1"/>
  <c r="B42" i="27"/>
  <c r="F42" i="27" s="1"/>
  <c r="A42" i="27"/>
  <c r="L41" i="27"/>
  <c r="P41" i="27" s="1"/>
  <c r="G41" i="27"/>
  <c r="I41" i="27" s="1"/>
  <c r="B41" i="27"/>
  <c r="F41" i="27" s="1"/>
  <c r="A41" i="27"/>
  <c r="L40" i="27"/>
  <c r="P40" i="27" s="1"/>
  <c r="G40" i="27"/>
  <c r="K40" i="27" s="1"/>
  <c r="B40" i="27"/>
  <c r="F40" i="27" s="1"/>
  <c r="A40" i="27"/>
  <c r="L39" i="27"/>
  <c r="P39" i="27" s="1"/>
  <c r="H39" i="27"/>
  <c r="G39" i="27"/>
  <c r="I39" i="27" s="1"/>
  <c r="B39" i="27"/>
  <c r="F39" i="27" s="1"/>
  <c r="A39" i="27"/>
  <c r="L38" i="27"/>
  <c r="P38" i="27" s="1"/>
  <c r="G38" i="27"/>
  <c r="K38" i="27" s="1"/>
  <c r="B38" i="27"/>
  <c r="F38" i="27" s="1"/>
  <c r="A38" i="27"/>
  <c r="L37" i="27"/>
  <c r="P37" i="27" s="1"/>
  <c r="G37" i="27"/>
  <c r="I37" i="27" s="1"/>
  <c r="B37" i="27"/>
  <c r="F37" i="27" s="1"/>
  <c r="A37" i="27"/>
  <c r="L60" i="26"/>
  <c r="P60" i="26" s="1"/>
  <c r="G60" i="26"/>
  <c r="H60" i="26" s="1"/>
  <c r="B60" i="26"/>
  <c r="F60" i="26" s="1"/>
  <c r="A60" i="26"/>
  <c r="L59" i="26"/>
  <c r="P59" i="26" s="1"/>
  <c r="G59" i="26"/>
  <c r="H59" i="26" s="1"/>
  <c r="B59" i="26"/>
  <c r="F59" i="26" s="1"/>
  <c r="A59" i="26"/>
  <c r="L58" i="26"/>
  <c r="P58" i="26" s="1"/>
  <c r="G58" i="26"/>
  <c r="H58" i="26" s="1"/>
  <c r="B58" i="26"/>
  <c r="F58" i="26" s="1"/>
  <c r="A58" i="26"/>
  <c r="L57" i="26"/>
  <c r="P57" i="26" s="1"/>
  <c r="G57" i="26"/>
  <c r="H57" i="26" s="1"/>
  <c r="B57" i="26"/>
  <c r="F57" i="26" s="1"/>
  <c r="A57" i="26"/>
  <c r="L56" i="26"/>
  <c r="P56" i="26" s="1"/>
  <c r="G56" i="26"/>
  <c r="H56" i="26" s="1"/>
  <c r="B56" i="26"/>
  <c r="C56" i="26" s="1"/>
  <c r="A56" i="26"/>
  <c r="L55" i="26"/>
  <c r="P55" i="26" s="1"/>
  <c r="G55" i="26"/>
  <c r="H55" i="26" s="1"/>
  <c r="B55" i="26"/>
  <c r="F55" i="26" s="1"/>
  <c r="A55" i="26"/>
  <c r="L54" i="26"/>
  <c r="P54" i="26" s="1"/>
  <c r="G54" i="26"/>
  <c r="H54" i="26" s="1"/>
  <c r="B54" i="26"/>
  <c r="C54" i="26" s="1"/>
  <c r="A54" i="26"/>
  <c r="L53" i="26"/>
  <c r="P53" i="26" s="1"/>
  <c r="G53" i="26"/>
  <c r="H53" i="26" s="1"/>
  <c r="B53" i="26"/>
  <c r="F53" i="26" s="1"/>
  <c r="A53" i="26"/>
  <c r="L52" i="26"/>
  <c r="P52" i="26" s="1"/>
  <c r="G52" i="26"/>
  <c r="H52" i="26" s="1"/>
  <c r="B52" i="26"/>
  <c r="F52" i="26" s="1"/>
  <c r="A52" i="26"/>
  <c r="L51" i="26"/>
  <c r="P51" i="26" s="1"/>
  <c r="G51" i="26"/>
  <c r="H51" i="26" s="1"/>
  <c r="B51" i="26"/>
  <c r="C51" i="26" s="1"/>
  <c r="A51" i="26"/>
  <c r="L50" i="26"/>
  <c r="P50" i="26" s="1"/>
  <c r="G50" i="26"/>
  <c r="H50" i="26" s="1"/>
  <c r="B50" i="26"/>
  <c r="F50" i="26" s="1"/>
  <c r="A50" i="26"/>
  <c r="L49" i="26"/>
  <c r="P49" i="26" s="1"/>
  <c r="G49" i="26"/>
  <c r="H49" i="26" s="1"/>
  <c r="B49" i="26"/>
  <c r="F49" i="26" s="1"/>
  <c r="A49" i="26"/>
  <c r="L48" i="26"/>
  <c r="P48" i="26" s="1"/>
  <c r="G48" i="26"/>
  <c r="H48" i="26" s="1"/>
  <c r="B48" i="26"/>
  <c r="F48" i="26" s="1"/>
  <c r="A48" i="26"/>
  <c r="L47" i="26"/>
  <c r="P47" i="26" s="1"/>
  <c r="G47" i="26"/>
  <c r="H47" i="26" s="1"/>
  <c r="B47" i="26"/>
  <c r="F47" i="26" s="1"/>
  <c r="A47" i="26"/>
  <c r="L46" i="26"/>
  <c r="P46" i="26" s="1"/>
  <c r="G46" i="26"/>
  <c r="H46" i="26" s="1"/>
  <c r="B46" i="26"/>
  <c r="F46" i="26" s="1"/>
  <c r="A46" i="26"/>
  <c r="L45" i="26"/>
  <c r="P45" i="26" s="1"/>
  <c r="G45" i="26"/>
  <c r="H45" i="26" s="1"/>
  <c r="B45" i="26"/>
  <c r="F45" i="26" s="1"/>
  <c r="A45" i="26"/>
  <c r="L44" i="26"/>
  <c r="P44" i="26" s="1"/>
  <c r="G44" i="26"/>
  <c r="H44" i="26" s="1"/>
  <c r="B44" i="26"/>
  <c r="C44" i="26" s="1"/>
  <c r="A44" i="26"/>
  <c r="L43" i="26"/>
  <c r="P43" i="26" s="1"/>
  <c r="G43" i="26"/>
  <c r="H43" i="26" s="1"/>
  <c r="B43" i="26"/>
  <c r="F43" i="26" s="1"/>
  <c r="A43" i="26"/>
  <c r="L42" i="26"/>
  <c r="P42" i="26" s="1"/>
  <c r="G42" i="26"/>
  <c r="H42" i="26" s="1"/>
  <c r="B42" i="26"/>
  <c r="C42" i="26" s="1"/>
  <c r="A42" i="26"/>
  <c r="L41" i="26"/>
  <c r="P41" i="26" s="1"/>
  <c r="G41" i="26"/>
  <c r="H41" i="26" s="1"/>
  <c r="B41" i="26"/>
  <c r="F41" i="26" s="1"/>
  <c r="A41" i="26"/>
  <c r="L40" i="26"/>
  <c r="P40" i="26" s="1"/>
  <c r="G40" i="26"/>
  <c r="H40" i="26" s="1"/>
  <c r="B40" i="26"/>
  <c r="F40" i="26" s="1"/>
  <c r="A40" i="26"/>
  <c r="L39" i="26"/>
  <c r="P39" i="26" s="1"/>
  <c r="G39" i="26"/>
  <c r="H39" i="26" s="1"/>
  <c r="B39" i="26"/>
  <c r="F39" i="26" s="1"/>
  <c r="A39" i="26"/>
  <c r="L38" i="26"/>
  <c r="P38" i="26" s="1"/>
  <c r="G38" i="26"/>
  <c r="H38" i="26" s="1"/>
  <c r="B38" i="26"/>
  <c r="C38" i="26" s="1"/>
  <c r="A38" i="26"/>
  <c r="L37" i="26"/>
  <c r="P37" i="26" s="1"/>
  <c r="G37" i="26"/>
  <c r="H37" i="26" s="1"/>
  <c r="B37" i="26"/>
  <c r="F37" i="26" s="1"/>
  <c r="A37" i="26"/>
  <c r="L60" i="25"/>
  <c r="O60" i="25" s="1"/>
  <c r="G60" i="25"/>
  <c r="K60" i="25" s="1"/>
  <c r="B60" i="25"/>
  <c r="F60" i="25" s="1"/>
  <c r="A60" i="25"/>
  <c r="L59" i="25"/>
  <c r="O59" i="25" s="1"/>
  <c r="G59" i="25"/>
  <c r="I59" i="25" s="1"/>
  <c r="B59" i="25"/>
  <c r="F59" i="25" s="1"/>
  <c r="A59" i="25"/>
  <c r="L58" i="25"/>
  <c r="O58" i="25" s="1"/>
  <c r="G58" i="25"/>
  <c r="K58" i="25" s="1"/>
  <c r="B58" i="25"/>
  <c r="F58" i="25" s="1"/>
  <c r="A58" i="25"/>
  <c r="L57" i="25"/>
  <c r="O57" i="25" s="1"/>
  <c r="G57" i="25"/>
  <c r="I57" i="25" s="1"/>
  <c r="B57" i="25"/>
  <c r="F57" i="25" s="1"/>
  <c r="A57" i="25"/>
  <c r="L56" i="25"/>
  <c r="O56" i="25" s="1"/>
  <c r="G56" i="25"/>
  <c r="K56" i="25" s="1"/>
  <c r="B56" i="25"/>
  <c r="F56" i="25" s="1"/>
  <c r="A56" i="25"/>
  <c r="L55" i="25"/>
  <c r="O55" i="25" s="1"/>
  <c r="G55" i="25"/>
  <c r="I55" i="25" s="1"/>
  <c r="B55" i="25"/>
  <c r="F55" i="25" s="1"/>
  <c r="A55" i="25"/>
  <c r="L54" i="25"/>
  <c r="O54" i="25" s="1"/>
  <c r="G54" i="25"/>
  <c r="K54" i="25" s="1"/>
  <c r="B54" i="25"/>
  <c r="C54" i="25" s="1"/>
  <c r="A54" i="25"/>
  <c r="L53" i="25"/>
  <c r="O53" i="25" s="1"/>
  <c r="G53" i="25"/>
  <c r="I53" i="25" s="1"/>
  <c r="B53" i="25"/>
  <c r="F53" i="25" s="1"/>
  <c r="A53" i="25"/>
  <c r="L52" i="25"/>
  <c r="O52" i="25" s="1"/>
  <c r="G52" i="25"/>
  <c r="K52" i="25" s="1"/>
  <c r="B52" i="25"/>
  <c r="F52" i="25" s="1"/>
  <c r="A52" i="25"/>
  <c r="L51" i="25"/>
  <c r="O51" i="25" s="1"/>
  <c r="G51" i="25"/>
  <c r="I51" i="25" s="1"/>
  <c r="B51" i="25"/>
  <c r="F51" i="25" s="1"/>
  <c r="A51" i="25"/>
  <c r="L50" i="25"/>
  <c r="O50" i="25" s="1"/>
  <c r="G50" i="25"/>
  <c r="K50" i="25" s="1"/>
  <c r="B50" i="25"/>
  <c r="C50" i="25" s="1"/>
  <c r="A50" i="25"/>
  <c r="L49" i="25"/>
  <c r="O49" i="25" s="1"/>
  <c r="G49" i="25"/>
  <c r="I49" i="25" s="1"/>
  <c r="B49" i="25"/>
  <c r="F49" i="25" s="1"/>
  <c r="A49" i="25"/>
  <c r="L48" i="25"/>
  <c r="O48" i="25" s="1"/>
  <c r="G48" i="25"/>
  <c r="K48" i="25" s="1"/>
  <c r="B48" i="25"/>
  <c r="F48" i="25" s="1"/>
  <c r="A48" i="25"/>
  <c r="L47" i="25"/>
  <c r="O47" i="25" s="1"/>
  <c r="G47" i="25"/>
  <c r="I47" i="25" s="1"/>
  <c r="B47" i="25"/>
  <c r="F47" i="25" s="1"/>
  <c r="A47" i="25"/>
  <c r="L46" i="25"/>
  <c r="O46" i="25" s="1"/>
  <c r="G46" i="25"/>
  <c r="K46" i="25" s="1"/>
  <c r="B46" i="25"/>
  <c r="C46" i="25" s="1"/>
  <c r="A46" i="25"/>
  <c r="L45" i="25"/>
  <c r="O45" i="25" s="1"/>
  <c r="G45" i="25"/>
  <c r="I45" i="25" s="1"/>
  <c r="B45" i="25"/>
  <c r="F45" i="25" s="1"/>
  <c r="A45" i="25"/>
  <c r="L44" i="25"/>
  <c r="O44" i="25" s="1"/>
  <c r="G44" i="25"/>
  <c r="K44" i="25" s="1"/>
  <c r="B44" i="25"/>
  <c r="F44" i="25" s="1"/>
  <c r="A44" i="25"/>
  <c r="L43" i="25"/>
  <c r="O43" i="25" s="1"/>
  <c r="G43" i="25"/>
  <c r="I43" i="25" s="1"/>
  <c r="B43" i="25"/>
  <c r="F43" i="25" s="1"/>
  <c r="A43" i="25"/>
  <c r="L42" i="25"/>
  <c r="O42" i="25" s="1"/>
  <c r="G42" i="25"/>
  <c r="K42" i="25" s="1"/>
  <c r="B42" i="25"/>
  <c r="C42" i="25" s="1"/>
  <c r="A42" i="25"/>
  <c r="L41" i="25"/>
  <c r="O41" i="25" s="1"/>
  <c r="G41" i="25"/>
  <c r="I41" i="25" s="1"/>
  <c r="B41" i="25"/>
  <c r="F41" i="25" s="1"/>
  <c r="A41" i="25"/>
  <c r="L40" i="25"/>
  <c r="O40" i="25" s="1"/>
  <c r="G40" i="25"/>
  <c r="K40" i="25" s="1"/>
  <c r="B40" i="25"/>
  <c r="C40" i="25" s="1"/>
  <c r="A40" i="25"/>
  <c r="L39" i="25"/>
  <c r="O39" i="25" s="1"/>
  <c r="G39" i="25"/>
  <c r="I39" i="25" s="1"/>
  <c r="B39" i="25"/>
  <c r="F39" i="25" s="1"/>
  <c r="A39" i="25"/>
  <c r="L38" i="25"/>
  <c r="O38" i="25" s="1"/>
  <c r="G38" i="25"/>
  <c r="K38" i="25" s="1"/>
  <c r="B38" i="25"/>
  <c r="C38" i="25" s="1"/>
  <c r="A38" i="25"/>
  <c r="L37" i="25"/>
  <c r="O37" i="25" s="1"/>
  <c r="G37" i="25"/>
  <c r="I37" i="25" s="1"/>
  <c r="B37" i="25"/>
  <c r="F37" i="25" s="1"/>
  <c r="A37" i="25"/>
  <c r="L60" i="24"/>
  <c r="P60" i="24" s="1"/>
  <c r="G60" i="24"/>
  <c r="H60" i="24" s="1"/>
  <c r="B60" i="24"/>
  <c r="F60" i="24" s="1"/>
  <c r="A60" i="24"/>
  <c r="L59" i="24"/>
  <c r="P59" i="24" s="1"/>
  <c r="G59" i="24"/>
  <c r="H59" i="24" s="1"/>
  <c r="B59" i="24"/>
  <c r="C59" i="24" s="1"/>
  <c r="A59" i="24"/>
  <c r="L58" i="24"/>
  <c r="P58" i="24" s="1"/>
  <c r="G58" i="24"/>
  <c r="H58" i="24" s="1"/>
  <c r="B58" i="24"/>
  <c r="F58" i="24" s="1"/>
  <c r="A58" i="24"/>
  <c r="L57" i="24"/>
  <c r="P57" i="24" s="1"/>
  <c r="G57" i="24"/>
  <c r="H57" i="24" s="1"/>
  <c r="B57" i="24"/>
  <c r="F57" i="24" s="1"/>
  <c r="A57" i="24"/>
  <c r="L56" i="24"/>
  <c r="P56" i="24" s="1"/>
  <c r="G56" i="24"/>
  <c r="H56" i="24" s="1"/>
  <c r="B56" i="24"/>
  <c r="F56" i="24" s="1"/>
  <c r="A56" i="24"/>
  <c r="L55" i="24"/>
  <c r="P55" i="24" s="1"/>
  <c r="G55" i="24"/>
  <c r="H55" i="24" s="1"/>
  <c r="B55" i="24"/>
  <c r="C55" i="24" s="1"/>
  <c r="A55" i="24"/>
  <c r="L54" i="24"/>
  <c r="P54" i="24" s="1"/>
  <c r="G54" i="24"/>
  <c r="H54" i="24" s="1"/>
  <c r="B54" i="24"/>
  <c r="C54" i="24" s="1"/>
  <c r="A54" i="24"/>
  <c r="L53" i="24"/>
  <c r="P53" i="24" s="1"/>
  <c r="K53" i="24"/>
  <c r="J53" i="24"/>
  <c r="G53" i="24"/>
  <c r="H53" i="24" s="1"/>
  <c r="B53" i="24"/>
  <c r="F53" i="24" s="1"/>
  <c r="A53" i="24"/>
  <c r="L52" i="24"/>
  <c r="P52" i="24" s="1"/>
  <c r="G52" i="24"/>
  <c r="H52" i="24" s="1"/>
  <c r="B52" i="24"/>
  <c r="C52" i="24" s="1"/>
  <c r="A52" i="24"/>
  <c r="L51" i="24"/>
  <c r="P51" i="24" s="1"/>
  <c r="G51" i="24"/>
  <c r="H51" i="24" s="1"/>
  <c r="B51" i="24"/>
  <c r="F51" i="24" s="1"/>
  <c r="A51" i="24"/>
  <c r="L50" i="24"/>
  <c r="P50" i="24" s="1"/>
  <c r="G50" i="24"/>
  <c r="H50" i="24" s="1"/>
  <c r="B50" i="24"/>
  <c r="F50" i="24" s="1"/>
  <c r="A50" i="24"/>
  <c r="L49" i="24"/>
  <c r="P49" i="24" s="1"/>
  <c r="G49" i="24"/>
  <c r="H49" i="24" s="1"/>
  <c r="B49" i="24"/>
  <c r="C49" i="24" s="1"/>
  <c r="A49" i="24"/>
  <c r="L48" i="24"/>
  <c r="P48" i="24" s="1"/>
  <c r="G48" i="24"/>
  <c r="H48" i="24" s="1"/>
  <c r="B48" i="24"/>
  <c r="F48" i="24" s="1"/>
  <c r="A48" i="24"/>
  <c r="L47" i="24"/>
  <c r="P47" i="24" s="1"/>
  <c r="G47" i="24"/>
  <c r="H47" i="24" s="1"/>
  <c r="B47" i="24"/>
  <c r="C47" i="24" s="1"/>
  <c r="A47" i="24"/>
  <c r="L46" i="24"/>
  <c r="P46" i="24" s="1"/>
  <c r="G46" i="24"/>
  <c r="H46" i="24" s="1"/>
  <c r="B46" i="24"/>
  <c r="F46" i="24" s="1"/>
  <c r="A46" i="24"/>
  <c r="L45" i="24"/>
  <c r="P45" i="24" s="1"/>
  <c r="G45" i="24"/>
  <c r="H45" i="24" s="1"/>
  <c r="B45" i="24"/>
  <c r="C45" i="24" s="1"/>
  <c r="A45" i="24"/>
  <c r="L44" i="24"/>
  <c r="P44" i="24" s="1"/>
  <c r="G44" i="24"/>
  <c r="H44" i="24" s="1"/>
  <c r="B44" i="24"/>
  <c r="F44" i="24" s="1"/>
  <c r="A44" i="24"/>
  <c r="L43" i="24"/>
  <c r="P43" i="24" s="1"/>
  <c r="G43" i="24"/>
  <c r="H43" i="24" s="1"/>
  <c r="B43" i="24"/>
  <c r="C43" i="24" s="1"/>
  <c r="A43" i="24"/>
  <c r="L42" i="24"/>
  <c r="P42" i="24" s="1"/>
  <c r="G42" i="24"/>
  <c r="H42" i="24" s="1"/>
  <c r="B42" i="24"/>
  <c r="C42" i="24" s="1"/>
  <c r="A42" i="24"/>
  <c r="L41" i="24"/>
  <c r="P41" i="24" s="1"/>
  <c r="G41" i="24"/>
  <c r="H41" i="24" s="1"/>
  <c r="B41" i="24"/>
  <c r="F41" i="24" s="1"/>
  <c r="A41" i="24"/>
  <c r="L40" i="24"/>
  <c r="P40" i="24" s="1"/>
  <c r="G40" i="24"/>
  <c r="H40" i="24" s="1"/>
  <c r="B40" i="24"/>
  <c r="C40" i="24" s="1"/>
  <c r="A40" i="24"/>
  <c r="L39" i="24"/>
  <c r="P39" i="24" s="1"/>
  <c r="G39" i="24"/>
  <c r="H39" i="24" s="1"/>
  <c r="B39" i="24"/>
  <c r="F39" i="24" s="1"/>
  <c r="A39" i="24"/>
  <c r="L38" i="24"/>
  <c r="P38" i="24" s="1"/>
  <c r="G38" i="24"/>
  <c r="H38" i="24" s="1"/>
  <c r="B38" i="24"/>
  <c r="C38" i="24" s="1"/>
  <c r="A38" i="24"/>
  <c r="L37" i="24"/>
  <c r="P37" i="24" s="1"/>
  <c r="G37" i="24"/>
  <c r="H37" i="24" s="1"/>
  <c r="B37" i="24"/>
  <c r="F37" i="24" s="1"/>
  <c r="A37" i="24"/>
  <c r="L60" i="23"/>
  <c r="P60" i="23" s="1"/>
  <c r="G60" i="23"/>
  <c r="H60" i="23" s="1"/>
  <c r="B60" i="23"/>
  <c r="F60" i="23" s="1"/>
  <c r="A60" i="23"/>
  <c r="L59" i="23"/>
  <c r="P59" i="23" s="1"/>
  <c r="G59" i="23"/>
  <c r="H59" i="23" s="1"/>
  <c r="B59" i="23"/>
  <c r="F59" i="23" s="1"/>
  <c r="A59" i="23"/>
  <c r="L58" i="23"/>
  <c r="P58" i="23" s="1"/>
  <c r="G58" i="23"/>
  <c r="H58" i="23" s="1"/>
  <c r="B58" i="23"/>
  <c r="F58" i="23" s="1"/>
  <c r="A58" i="23"/>
  <c r="L57" i="23"/>
  <c r="P57" i="23" s="1"/>
  <c r="G57" i="23"/>
  <c r="H57" i="23" s="1"/>
  <c r="B57" i="23"/>
  <c r="F57" i="23" s="1"/>
  <c r="A57" i="23"/>
  <c r="L56" i="23"/>
  <c r="P56" i="23" s="1"/>
  <c r="G56" i="23"/>
  <c r="H56" i="23" s="1"/>
  <c r="B56" i="23"/>
  <c r="F56" i="23" s="1"/>
  <c r="A56" i="23"/>
  <c r="L55" i="23"/>
  <c r="P55" i="23" s="1"/>
  <c r="G55" i="23"/>
  <c r="H55" i="23" s="1"/>
  <c r="B55" i="23"/>
  <c r="F55" i="23" s="1"/>
  <c r="A55" i="23"/>
  <c r="L54" i="23"/>
  <c r="P54" i="23" s="1"/>
  <c r="G54" i="23"/>
  <c r="H54" i="23" s="1"/>
  <c r="B54" i="23"/>
  <c r="F54" i="23" s="1"/>
  <c r="A54" i="23"/>
  <c r="L53" i="23"/>
  <c r="P53" i="23" s="1"/>
  <c r="G53" i="23"/>
  <c r="H53" i="23" s="1"/>
  <c r="B53" i="23"/>
  <c r="F53" i="23" s="1"/>
  <c r="A53" i="23"/>
  <c r="L52" i="23"/>
  <c r="P52" i="23" s="1"/>
  <c r="G52" i="23"/>
  <c r="H52" i="23" s="1"/>
  <c r="B52" i="23"/>
  <c r="F52" i="23" s="1"/>
  <c r="A52" i="23"/>
  <c r="L51" i="23"/>
  <c r="P51" i="23" s="1"/>
  <c r="G51" i="23"/>
  <c r="H51" i="23" s="1"/>
  <c r="B51" i="23"/>
  <c r="F51" i="23" s="1"/>
  <c r="A51" i="23"/>
  <c r="L50" i="23"/>
  <c r="P50" i="23" s="1"/>
  <c r="G50" i="23"/>
  <c r="H50" i="23" s="1"/>
  <c r="B50" i="23"/>
  <c r="F50" i="23" s="1"/>
  <c r="A50" i="23"/>
  <c r="L49" i="23"/>
  <c r="P49" i="23" s="1"/>
  <c r="G49" i="23"/>
  <c r="H49" i="23" s="1"/>
  <c r="B49" i="23"/>
  <c r="F49" i="23" s="1"/>
  <c r="A49" i="23"/>
  <c r="L48" i="23"/>
  <c r="P48" i="23" s="1"/>
  <c r="G48" i="23"/>
  <c r="H48" i="23" s="1"/>
  <c r="B48" i="23"/>
  <c r="F48" i="23" s="1"/>
  <c r="A48" i="23"/>
  <c r="L47" i="23"/>
  <c r="P47" i="23" s="1"/>
  <c r="G47" i="23"/>
  <c r="H47" i="23" s="1"/>
  <c r="B47" i="23"/>
  <c r="F47" i="23" s="1"/>
  <c r="A47" i="23"/>
  <c r="L46" i="23"/>
  <c r="P46" i="23" s="1"/>
  <c r="G46" i="23"/>
  <c r="H46" i="23" s="1"/>
  <c r="B46" i="23"/>
  <c r="F46" i="23" s="1"/>
  <c r="A46" i="23"/>
  <c r="L45" i="23"/>
  <c r="P45" i="23" s="1"/>
  <c r="J45" i="23"/>
  <c r="G45" i="23"/>
  <c r="H45" i="23" s="1"/>
  <c r="B45" i="23"/>
  <c r="F45" i="23" s="1"/>
  <c r="A45" i="23"/>
  <c r="L44" i="23"/>
  <c r="P44" i="23" s="1"/>
  <c r="G44" i="23"/>
  <c r="H44" i="23" s="1"/>
  <c r="B44" i="23"/>
  <c r="F44" i="23" s="1"/>
  <c r="A44" i="23"/>
  <c r="L43" i="23"/>
  <c r="P43" i="23" s="1"/>
  <c r="G43" i="23"/>
  <c r="H43" i="23" s="1"/>
  <c r="B43" i="23"/>
  <c r="F43" i="23" s="1"/>
  <c r="A43" i="23"/>
  <c r="L42" i="23"/>
  <c r="P42" i="23" s="1"/>
  <c r="G42" i="23"/>
  <c r="H42" i="23" s="1"/>
  <c r="B42" i="23"/>
  <c r="F42" i="23" s="1"/>
  <c r="A42" i="23"/>
  <c r="L41" i="23"/>
  <c r="P41" i="23" s="1"/>
  <c r="G41" i="23"/>
  <c r="H41" i="23" s="1"/>
  <c r="B41" i="23"/>
  <c r="F41" i="23" s="1"/>
  <c r="A41" i="23"/>
  <c r="L40" i="23"/>
  <c r="P40" i="23" s="1"/>
  <c r="G40" i="23"/>
  <c r="H40" i="23" s="1"/>
  <c r="B40" i="23"/>
  <c r="D40" i="23" s="1"/>
  <c r="A40" i="23"/>
  <c r="L39" i="23"/>
  <c r="P39" i="23" s="1"/>
  <c r="G39" i="23"/>
  <c r="H39" i="23" s="1"/>
  <c r="B39" i="23"/>
  <c r="F39" i="23" s="1"/>
  <c r="A39" i="23"/>
  <c r="L38" i="23"/>
  <c r="P38" i="23" s="1"/>
  <c r="G38" i="23"/>
  <c r="H38" i="23" s="1"/>
  <c r="B38" i="23"/>
  <c r="F38" i="23" s="1"/>
  <c r="A38" i="23"/>
  <c r="L37" i="23"/>
  <c r="P37" i="23" s="1"/>
  <c r="G37" i="23"/>
  <c r="H37" i="23" s="1"/>
  <c r="B37" i="23"/>
  <c r="F37" i="23" s="1"/>
  <c r="A37" i="23"/>
  <c r="K37" i="23" l="1"/>
  <c r="K49" i="23"/>
  <c r="I47" i="23"/>
  <c r="K40" i="23"/>
  <c r="J56" i="23"/>
  <c r="I56" i="23"/>
  <c r="I44" i="23"/>
  <c r="J57" i="23"/>
  <c r="J44" i="23"/>
  <c r="K52" i="23"/>
  <c r="K57" i="24"/>
  <c r="J57" i="24"/>
  <c r="J56" i="24"/>
  <c r="J60" i="24"/>
  <c r="I52" i="24"/>
  <c r="K54" i="24"/>
  <c r="J52" i="24"/>
  <c r="I56" i="24"/>
  <c r="K58" i="24"/>
  <c r="J45" i="25"/>
  <c r="K38" i="26"/>
  <c r="K49" i="26"/>
  <c r="J41" i="26"/>
  <c r="K54" i="26"/>
  <c r="K41" i="26"/>
  <c r="J38" i="26"/>
  <c r="I44" i="26"/>
  <c r="J46" i="26"/>
  <c r="I53" i="26"/>
  <c r="K57" i="26"/>
  <c r="K46" i="26"/>
  <c r="J53" i="26"/>
  <c r="J49" i="26"/>
  <c r="K53" i="26"/>
  <c r="H50" i="27"/>
  <c r="J47" i="27"/>
  <c r="E49" i="27"/>
  <c r="H51" i="27"/>
  <c r="H38" i="27"/>
  <c r="J43" i="27"/>
  <c r="E45" i="27"/>
  <c r="H54" i="27"/>
  <c r="E57" i="27"/>
  <c r="E37" i="27"/>
  <c r="J39" i="27"/>
  <c r="E41" i="27"/>
  <c r="H47" i="27"/>
  <c r="H58" i="27"/>
  <c r="I54" i="27"/>
  <c r="I38" i="27"/>
  <c r="I42" i="27"/>
  <c r="H46" i="27"/>
  <c r="J51" i="27"/>
  <c r="E53" i="27"/>
  <c r="H55" i="27"/>
  <c r="I58" i="27"/>
  <c r="H43" i="27"/>
  <c r="I46" i="27"/>
  <c r="J55" i="27"/>
  <c r="J43" i="28"/>
  <c r="H37" i="28"/>
  <c r="J38" i="28"/>
  <c r="P40" i="28"/>
  <c r="H41" i="28"/>
  <c r="J42" i="28"/>
  <c r="P44" i="28"/>
  <c r="H45" i="28"/>
  <c r="P48" i="28"/>
  <c r="H49" i="28"/>
  <c r="P52" i="28"/>
  <c r="H53" i="28"/>
  <c r="P56" i="28"/>
  <c r="H57" i="28"/>
  <c r="J53" i="28"/>
  <c r="J57" i="28"/>
  <c r="P38" i="28"/>
  <c r="H39" i="28"/>
  <c r="P42" i="28"/>
  <c r="H43" i="28"/>
  <c r="J44" i="28"/>
  <c r="P46" i="28"/>
  <c r="H47" i="28"/>
  <c r="J48" i="28"/>
  <c r="P50" i="28"/>
  <c r="H51" i="28"/>
  <c r="J52" i="28"/>
  <c r="P54" i="28"/>
  <c r="H55" i="28"/>
  <c r="J56" i="28"/>
  <c r="P58" i="28"/>
  <c r="H59" i="28"/>
  <c r="J60" i="28"/>
  <c r="J39" i="28"/>
  <c r="J47" i="28"/>
  <c r="J51" i="28"/>
  <c r="J55" i="28"/>
  <c r="P44" i="25"/>
  <c r="H45" i="25"/>
  <c r="P54" i="25"/>
  <c r="H55" i="25"/>
  <c r="J42" i="25"/>
  <c r="J48" i="25"/>
  <c r="H42" i="25"/>
  <c r="P50" i="25"/>
  <c r="H51" i="25"/>
  <c r="J59" i="25"/>
  <c r="J51" i="25"/>
  <c r="H37" i="25"/>
  <c r="J50" i="25"/>
  <c r="J37" i="25"/>
  <c r="P52" i="25"/>
  <c r="H53" i="25"/>
  <c r="J56" i="25"/>
  <c r="H40" i="25"/>
  <c r="J43" i="25"/>
  <c r="J53" i="25"/>
  <c r="H58" i="25"/>
  <c r="J40" i="25"/>
  <c r="H50" i="25"/>
  <c r="J58" i="25"/>
  <c r="H38" i="25"/>
  <c r="J39" i="25"/>
  <c r="P40" i="25"/>
  <c r="H41" i="25"/>
  <c r="J44" i="25"/>
  <c r="H46" i="25"/>
  <c r="J47" i="25"/>
  <c r="P48" i="25"/>
  <c r="H49" i="25"/>
  <c r="J52" i="25"/>
  <c r="H54" i="25"/>
  <c r="J55" i="25"/>
  <c r="P56" i="25"/>
  <c r="H57" i="25"/>
  <c r="J60" i="25"/>
  <c r="J38" i="25"/>
  <c r="J41" i="25"/>
  <c r="P42" i="25"/>
  <c r="H43" i="25"/>
  <c r="J46" i="25"/>
  <c r="H48" i="25"/>
  <c r="J49" i="25"/>
  <c r="J54" i="25"/>
  <c r="H56" i="25"/>
  <c r="J57" i="25"/>
  <c r="P58" i="25"/>
  <c r="H59" i="25"/>
  <c r="P38" i="25"/>
  <c r="H39" i="25"/>
  <c r="H44" i="25"/>
  <c r="P46" i="25"/>
  <c r="H47" i="25"/>
  <c r="H52" i="25"/>
  <c r="H60" i="25"/>
  <c r="I59" i="23"/>
  <c r="I39" i="23"/>
  <c r="J41" i="23"/>
  <c r="I48" i="23"/>
  <c r="I51" i="23"/>
  <c r="J53" i="23"/>
  <c r="I60" i="23"/>
  <c r="I40" i="23"/>
  <c r="K41" i="23"/>
  <c r="J48" i="23"/>
  <c r="I52" i="23"/>
  <c r="K53" i="23"/>
  <c r="J60" i="23"/>
  <c r="J37" i="23"/>
  <c r="J40" i="23"/>
  <c r="I43" i="23"/>
  <c r="K45" i="23"/>
  <c r="J49" i="23"/>
  <c r="J52" i="23"/>
  <c r="I55" i="23"/>
  <c r="K57" i="23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O50" i="24"/>
  <c r="I59" i="24"/>
  <c r="J37" i="24"/>
  <c r="J38" i="24"/>
  <c r="J39" i="24"/>
  <c r="J40" i="24"/>
  <c r="J41" i="24"/>
  <c r="J42" i="24"/>
  <c r="J43" i="24"/>
  <c r="J44" i="24"/>
  <c r="J45" i="24"/>
  <c r="J46" i="24"/>
  <c r="J47" i="24"/>
  <c r="J48" i="24"/>
  <c r="J49" i="24"/>
  <c r="J50" i="24"/>
  <c r="J51" i="24"/>
  <c r="K52" i="24"/>
  <c r="I54" i="24"/>
  <c r="J55" i="24"/>
  <c r="K56" i="24"/>
  <c r="I58" i="24"/>
  <c r="J59" i="24"/>
  <c r="K60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I50" i="24"/>
  <c r="I51" i="24"/>
  <c r="I55" i="24"/>
  <c r="K37" i="24"/>
  <c r="K38" i="24"/>
  <c r="K39" i="24"/>
  <c r="K40" i="24"/>
  <c r="K41" i="24"/>
  <c r="K42" i="24"/>
  <c r="K43" i="24"/>
  <c r="K44" i="24"/>
  <c r="K45" i="24"/>
  <c r="K46" i="24"/>
  <c r="K47" i="24"/>
  <c r="K48" i="24"/>
  <c r="K49" i="24"/>
  <c r="K50" i="24"/>
  <c r="K51" i="24"/>
  <c r="I53" i="24"/>
  <c r="J54" i="24"/>
  <c r="K55" i="24"/>
  <c r="I57" i="24"/>
  <c r="J58" i="24"/>
  <c r="K59" i="24"/>
  <c r="I60" i="24"/>
  <c r="P39" i="25"/>
  <c r="K37" i="25"/>
  <c r="I38" i="25"/>
  <c r="N38" i="25"/>
  <c r="K39" i="25"/>
  <c r="I40" i="25"/>
  <c r="N40" i="25"/>
  <c r="K41" i="25"/>
  <c r="I42" i="25"/>
  <c r="N42" i="25"/>
  <c r="K43" i="25"/>
  <c r="I44" i="25"/>
  <c r="N44" i="25"/>
  <c r="K45" i="25"/>
  <c r="I46" i="25"/>
  <c r="N46" i="25"/>
  <c r="K47" i="25"/>
  <c r="I48" i="25"/>
  <c r="N48" i="25"/>
  <c r="K49" i="25"/>
  <c r="I50" i="25"/>
  <c r="N50" i="25"/>
  <c r="K51" i="25"/>
  <c r="I52" i="25"/>
  <c r="N52" i="25"/>
  <c r="K53" i="25"/>
  <c r="I54" i="25"/>
  <c r="N54" i="25"/>
  <c r="K55" i="25"/>
  <c r="I56" i="25"/>
  <c r="N56" i="25"/>
  <c r="K57" i="25"/>
  <c r="I58" i="25"/>
  <c r="N58" i="25"/>
  <c r="K59" i="25"/>
  <c r="I60" i="25"/>
  <c r="N60" i="25"/>
  <c r="P60" i="25"/>
  <c r="N37" i="25"/>
  <c r="N39" i="25"/>
  <c r="N41" i="25"/>
  <c r="N43" i="25"/>
  <c r="N45" i="25"/>
  <c r="N47" i="25"/>
  <c r="N49" i="25"/>
  <c r="N51" i="25"/>
  <c r="N53" i="25"/>
  <c r="N55" i="25"/>
  <c r="N57" i="25"/>
  <c r="N59" i="25"/>
  <c r="P37" i="25"/>
  <c r="P41" i="25"/>
  <c r="P43" i="25"/>
  <c r="P45" i="25"/>
  <c r="P47" i="25"/>
  <c r="P49" i="25"/>
  <c r="P51" i="25"/>
  <c r="P53" i="25"/>
  <c r="P55" i="25"/>
  <c r="P57" i="25"/>
  <c r="P59" i="25"/>
  <c r="I37" i="26"/>
  <c r="I45" i="26"/>
  <c r="K55" i="26"/>
  <c r="J58" i="26"/>
  <c r="J42" i="26"/>
  <c r="I48" i="26"/>
  <c r="J50" i="26"/>
  <c r="I57" i="26"/>
  <c r="K59" i="26"/>
  <c r="J37" i="26"/>
  <c r="I40" i="26"/>
  <c r="J45" i="26"/>
  <c r="K37" i="26"/>
  <c r="I41" i="26"/>
  <c r="K42" i="26"/>
  <c r="K45" i="26"/>
  <c r="I49" i="26"/>
  <c r="K50" i="26"/>
  <c r="J54" i="26"/>
  <c r="J57" i="26"/>
  <c r="H37" i="27"/>
  <c r="J38" i="27"/>
  <c r="E39" i="27"/>
  <c r="H40" i="27"/>
  <c r="H41" i="27"/>
  <c r="J42" i="27"/>
  <c r="E43" i="27"/>
  <c r="H44" i="27"/>
  <c r="H45" i="27"/>
  <c r="J46" i="27"/>
  <c r="E47" i="27"/>
  <c r="H48" i="27"/>
  <c r="H49" i="27"/>
  <c r="J50" i="27"/>
  <c r="E51" i="27"/>
  <c r="H52" i="27"/>
  <c r="H53" i="27"/>
  <c r="J54" i="27"/>
  <c r="E55" i="27"/>
  <c r="H56" i="27"/>
  <c r="H57" i="27"/>
  <c r="J58" i="27"/>
  <c r="E59" i="27"/>
  <c r="H60" i="27"/>
  <c r="J37" i="27"/>
  <c r="I40" i="27"/>
  <c r="J41" i="27"/>
  <c r="I44" i="27"/>
  <c r="J45" i="27"/>
  <c r="I48" i="27"/>
  <c r="J49" i="27"/>
  <c r="I52" i="27"/>
  <c r="J53" i="27"/>
  <c r="I56" i="27"/>
  <c r="J57" i="27"/>
  <c r="I60" i="27"/>
  <c r="J40" i="27"/>
  <c r="H42" i="27"/>
  <c r="J44" i="27"/>
  <c r="J48" i="27"/>
  <c r="J52" i="27"/>
  <c r="J56" i="27"/>
  <c r="J60" i="27"/>
  <c r="K39" i="26"/>
  <c r="K43" i="26"/>
  <c r="K47" i="26"/>
  <c r="K51" i="26"/>
  <c r="I52" i="26"/>
  <c r="I56" i="26"/>
  <c r="K58" i="26"/>
  <c r="I60" i="26"/>
  <c r="I39" i="26"/>
  <c r="J40" i="26"/>
  <c r="I43" i="26"/>
  <c r="J44" i="26"/>
  <c r="I47" i="26"/>
  <c r="J48" i="26"/>
  <c r="I51" i="26"/>
  <c r="J52" i="26"/>
  <c r="I55" i="26"/>
  <c r="J56" i="26"/>
  <c r="I59" i="26"/>
  <c r="J60" i="26"/>
  <c r="I38" i="26"/>
  <c r="J39" i="26"/>
  <c r="K40" i="26"/>
  <c r="I42" i="26"/>
  <c r="J43" i="26"/>
  <c r="K44" i="26"/>
  <c r="I46" i="26"/>
  <c r="J47" i="26"/>
  <c r="K48" i="26"/>
  <c r="I50" i="26"/>
  <c r="J51" i="26"/>
  <c r="K52" i="26"/>
  <c r="I54" i="26"/>
  <c r="J55" i="26"/>
  <c r="K56" i="26"/>
  <c r="I58" i="26"/>
  <c r="J59" i="26"/>
  <c r="K60" i="26"/>
  <c r="K37" i="27"/>
  <c r="D38" i="27"/>
  <c r="K39" i="27"/>
  <c r="D40" i="27"/>
  <c r="K41" i="27"/>
  <c r="D42" i="27"/>
  <c r="K43" i="27"/>
  <c r="D44" i="27"/>
  <c r="K45" i="27"/>
  <c r="D46" i="27"/>
  <c r="K47" i="27"/>
  <c r="D48" i="27"/>
  <c r="K49" i="27"/>
  <c r="D50" i="27"/>
  <c r="K51" i="27"/>
  <c r="D52" i="27"/>
  <c r="K53" i="27"/>
  <c r="D54" i="27"/>
  <c r="K55" i="27"/>
  <c r="D56" i="27"/>
  <c r="K57" i="27"/>
  <c r="D58" i="27"/>
  <c r="K59" i="27"/>
  <c r="D60" i="27"/>
  <c r="E38" i="27"/>
  <c r="E40" i="27"/>
  <c r="E42" i="27"/>
  <c r="E44" i="27"/>
  <c r="E46" i="27"/>
  <c r="E48" i="27"/>
  <c r="E50" i="27"/>
  <c r="E52" i="27"/>
  <c r="E54" i="27"/>
  <c r="E56" i="27"/>
  <c r="E58" i="27"/>
  <c r="E60" i="27"/>
  <c r="D37" i="27"/>
  <c r="D39" i="27"/>
  <c r="D41" i="27"/>
  <c r="D43" i="27"/>
  <c r="D45" i="27"/>
  <c r="D47" i="27"/>
  <c r="D49" i="27"/>
  <c r="D51" i="27"/>
  <c r="D53" i="27"/>
  <c r="D55" i="27"/>
  <c r="D57" i="27"/>
  <c r="D59" i="27"/>
  <c r="I38" i="23"/>
  <c r="J39" i="23"/>
  <c r="I42" i="23"/>
  <c r="J43" i="23"/>
  <c r="K44" i="23"/>
  <c r="I46" i="23"/>
  <c r="J47" i="23"/>
  <c r="K48" i="23"/>
  <c r="I50" i="23"/>
  <c r="J51" i="23"/>
  <c r="I54" i="23"/>
  <c r="J55" i="23"/>
  <c r="K56" i="23"/>
  <c r="I58" i="23"/>
  <c r="J59" i="23"/>
  <c r="K60" i="23"/>
  <c r="I37" i="23"/>
  <c r="J38" i="23"/>
  <c r="K39" i="23"/>
  <c r="I41" i="23"/>
  <c r="J42" i="23"/>
  <c r="K43" i="23"/>
  <c r="I45" i="23"/>
  <c r="J46" i="23"/>
  <c r="K47" i="23"/>
  <c r="I49" i="23"/>
  <c r="J50" i="23"/>
  <c r="K51" i="23"/>
  <c r="I53" i="23"/>
  <c r="J54" i="23"/>
  <c r="K55" i="23"/>
  <c r="I57" i="23"/>
  <c r="J58" i="23"/>
  <c r="K59" i="23"/>
  <c r="K38" i="23"/>
  <c r="K42" i="23"/>
  <c r="K46" i="23"/>
  <c r="K50" i="23"/>
  <c r="K54" i="23"/>
  <c r="K58" i="23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I57" i="28"/>
  <c r="I58" i="28"/>
  <c r="I59" i="28"/>
  <c r="I60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38" i="28"/>
  <c r="E37" i="28"/>
  <c r="M37" i="28"/>
  <c r="E38" i="28"/>
  <c r="M38" i="28"/>
  <c r="E39" i="28"/>
  <c r="M39" i="28"/>
  <c r="E40" i="28"/>
  <c r="M40" i="28"/>
  <c r="E41" i="28"/>
  <c r="M41" i="28"/>
  <c r="E42" i="28"/>
  <c r="M42" i="28"/>
  <c r="E43" i="28"/>
  <c r="M43" i="28"/>
  <c r="E44" i="28"/>
  <c r="M44" i="28"/>
  <c r="E45" i="28"/>
  <c r="M45" i="28"/>
  <c r="E46" i="28"/>
  <c r="M46" i="28"/>
  <c r="E47" i="28"/>
  <c r="M47" i="28"/>
  <c r="E48" i="28"/>
  <c r="M48" i="28"/>
  <c r="E49" i="28"/>
  <c r="M49" i="28"/>
  <c r="E50" i="28"/>
  <c r="M50" i="28"/>
  <c r="E51" i="28"/>
  <c r="M51" i="28"/>
  <c r="E52" i="28"/>
  <c r="M52" i="28"/>
  <c r="E53" i="28"/>
  <c r="M53" i="28"/>
  <c r="E54" i="28"/>
  <c r="M54" i="28"/>
  <c r="E55" i="28"/>
  <c r="M55" i="28"/>
  <c r="E56" i="28"/>
  <c r="M56" i="28"/>
  <c r="E57" i="28"/>
  <c r="M57" i="28"/>
  <c r="E58" i="28"/>
  <c r="M58" i="28"/>
  <c r="E59" i="28"/>
  <c r="M59" i="28"/>
  <c r="E60" i="28"/>
  <c r="M60" i="28"/>
  <c r="D37" i="28"/>
  <c r="N37" i="28"/>
  <c r="N38" i="28"/>
  <c r="N39" i="28"/>
  <c r="N40" i="28"/>
  <c r="N41" i="28"/>
  <c r="N42" i="28"/>
  <c r="N43" i="28"/>
  <c r="N44" i="28"/>
  <c r="N45" i="28"/>
  <c r="N46" i="28"/>
  <c r="N47" i="28"/>
  <c r="N48" i="28"/>
  <c r="N49" i="28"/>
  <c r="N50" i="28"/>
  <c r="N51" i="28"/>
  <c r="N52" i="28"/>
  <c r="N53" i="28"/>
  <c r="N54" i="28"/>
  <c r="N55" i="28"/>
  <c r="N56" i="28"/>
  <c r="N57" i="28"/>
  <c r="N58" i="28"/>
  <c r="N59" i="28"/>
  <c r="N60" i="28"/>
  <c r="O60" i="28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M37" i="27"/>
  <c r="M39" i="27"/>
  <c r="M40" i="27"/>
  <c r="M41" i="27"/>
  <c r="M42" i="27"/>
  <c r="M43" i="27"/>
  <c r="M44" i="27"/>
  <c r="M45" i="27"/>
  <c r="M46" i="27"/>
  <c r="M47" i="27"/>
  <c r="M48" i="27"/>
  <c r="M49" i="27"/>
  <c r="M50" i="27"/>
  <c r="M51" i="27"/>
  <c r="M52" i="27"/>
  <c r="M53" i="27"/>
  <c r="M54" i="27"/>
  <c r="M55" i="27"/>
  <c r="M56" i="27"/>
  <c r="M57" i="27"/>
  <c r="M58" i="27"/>
  <c r="M59" i="27"/>
  <c r="M60" i="27"/>
  <c r="M38" i="27"/>
  <c r="N37" i="27"/>
  <c r="N38" i="27"/>
  <c r="N39" i="27"/>
  <c r="N40" i="27"/>
  <c r="N41" i="27"/>
  <c r="N42" i="27"/>
  <c r="N43" i="27"/>
  <c r="N44" i="27"/>
  <c r="N45" i="27"/>
  <c r="N46" i="27"/>
  <c r="N47" i="27"/>
  <c r="N48" i="27"/>
  <c r="N49" i="27"/>
  <c r="N50" i="27"/>
  <c r="N51" i="27"/>
  <c r="N52" i="27"/>
  <c r="N53" i="27"/>
  <c r="N54" i="27"/>
  <c r="N55" i="27"/>
  <c r="N56" i="27"/>
  <c r="N57" i="27"/>
  <c r="N58" i="27"/>
  <c r="N59" i="27"/>
  <c r="N60" i="27"/>
  <c r="O37" i="27"/>
  <c r="O38" i="27"/>
  <c r="O39" i="27"/>
  <c r="O40" i="27"/>
  <c r="O41" i="27"/>
  <c r="O42" i="27"/>
  <c r="O43" i="27"/>
  <c r="O44" i="27"/>
  <c r="O45" i="27"/>
  <c r="O46" i="27"/>
  <c r="O47" i="27"/>
  <c r="O48" i="27"/>
  <c r="O49" i="27"/>
  <c r="O50" i="27"/>
  <c r="O51" i="27"/>
  <c r="O52" i="27"/>
  <c r="O53" i="27"/>
  <c r="O54" i="27"/>
  <c r="O55" i="27"/>
  <c r="O56" i="27"/>
  <c r="O57" i="27"/>
  <c r="O58" i="27"/>
  <c r="O59" i="27"/>
  <c r="O60" i="27"/>
  <c r="C37" i="26"/>
  <c r="C39" i="26"/>
  <c r="C48" i="26"/>
  <c r="C50" i="26"/>
  <c r="C55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C40" i="26"/>
  <c r="C43" i="26"/>
  <c r="C45" i="26"/>
  <c r="C46" i="26"/>
  <c r="C53" i="26"/>
  <c r="C58" i="26"/>
  <c r="C60" i="26"/>
  <c r="E37" i="26"/>
  <c r="M37" i="26"/>
  <c r="E38" i="26"/>
  <c r="M38" i="26"/>
  <c r="E39" i="26"/>
  <c r="M39" i="26"/>
  <c r="E40" i="26"/>
  <c r="M40" i="26"/>
  <c r="E41" i="26"/>
  <c r="M41" i="26"/>
  <c r="E42" i="26"/>
  <c r="M42" i="26"/>
  <c r="E43" i="26"/>
  <c r="M43" i="26"/>
  <c r="E44" i="26"/>
  <c r="M44" i="26"/>
  <c r="E45" i="26"/>
  <c r="M45" i="26"/>
  <c r="E46" i="26"/>
  <c r="M46" i="26"/>
  <c r="E47" i="26"/>
  <c r="M47" i="26"/>
  <c r="E48" i="26"/>
  <c r="M48" i="26"/>
  <c r="E49" i="26"/>
  <c r="M49" i="26"/>
  <c r="E50" i="26"/>
  <c r="M50" i="26"/>
  <c r="E51" i="26"/>
  <c r="M51" i="26"/>
  <c r="E52" i="26"/>
  <c r="M52" i="26"/>
  <c r="E53" i="26"/>
  <c r="M53" i="26"/>
  <c r="E54" i="26"/>
  <c r="M54" i="26"/>
  <c r="E55" i="26"/>
  <c r="M55" i="26"/>
  <c r="E56" i="26"/>
  <c r="M56" i="26"/>
  <c r="E57" i="26"/>
  <c r="M57" i="26"/>
  <c r="E58" i="26"/>
  <c r="M58" i="26"/>
  <c r="E59" i="26"/>
  <c r="M59" i="26"/>
  <c r="E60" i="26"/>
  <c r="M60" i="26"/>
  <c r="C41" i="26"/>
  <c r="C47" i="26"/>
  <c r="C49" i="26"/>
  <c r="C52" i="26"/>
  <c r="C57" i="26"/>
  <c r="C59" i="26"/>
  <c r="N37" i="26"/>
  <c r="F38" i="26"/>
  <c r="N38" i="26"/>
  <c r="N39" i="26"/>
  <c r="N40" i="26"/>
  <c r="N41" i="26"/>
  <c r="F42" i="26"/>
  <c r="N42" i="26"/>
  <c r="N43" i="26"/>
  <c r="F44" i="26"/>
  <c r="N44" i="26"/>
  <c r="N45" i="26"/>
  <c r="N46" i="26"/>
  <c r="N47" i="26"/>
  <c r="N48" i="26"/>
  <c r="N49" i="26"/>
  <c r="N50" i="26"/>
  <c r="F51" i="26"/>
  <c r="N51" i="26"/>
  <c r="N52" i="26"/>
  <c r="N53" i="26"/>
  <c r="F54" i="26"/>
  <c r="N54" i="26"/>
  <c r="N55" i="26"/>
  <c r="F56" i="26"/>
  <c r="N56" i="26"/>
  <c r="N57" i="26"/>
  <c r="N58" i="26"/>
  <c r="N59" i="26"/>
  <c r="N60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49" i="26"/>
  <c r="O50" i="26"/>
  <c r="O51" i="26"/>
  <c r="O52" i="26"/>
  <c r="O53" i="26"/>
  <c r="O54" i="26"/>
  <c r="O55" i="26"/>
  <c r="O56" i="26"/>
  <c r="O57" i="26"/>
  <c r="O58" i="26"/>
  <c r="O59" i="26"/>
  <c r="O60" i="26"/>
  <c r="C39" i="25"/>
  <c r="C48" i="25"/>
  <c r="C58" i="25"/>
  <c r="C44" i="25"/>
  <c r="C47" i="25"/>
  <c r="C49" i="25"/>
  <c r="C52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C55" i="25"/>
  <c r="C57" i="25"/>
  <c r="C60" i="25"/>
  <c r="E37" i="25"/>
  <c r="M37" i="25"/>
  <c r="E38" i="25"/>
  <c r="M38" i="25"/>
  <c r="E39" i="25"/>
  <c r="M39" i="25"/>
  <c r="E40" i="25"/>
  <c r="M40" i="25"/>
  <c r="E41" i="25"/>
  <c r="M41" i="25"/>
  <c r="E42" i="25"/>
  <c r="M42" i="25"/>
  <c r="E43" i="25"/>
  <c r="M43" i="25"/>
  <c r="E44" i="25"/>
  <c r="M44" i="25"/>
  <c r="E45" i="25"/>
  <c r="M45" i="25"/>
  <c r="E46" i="25"/>
  <c r="M46" i="25"/>
  <c r="E47" i="25"/>
  <c r="M47" i="25"/>
  <c r="E48" i="25"/>
  <c r="M48" i="25"/>
  <c r="E49" i="25"/>
  <c r="M49" i="25"/>
  <c r="E50" i="25"/>
  <c r="M50" i="25"/>
  <c r="E51" i="25"/>
  <c r="M51" i="25"/>
  <c r="E52" i="25"/>
  <c r="M52" i="25"/>
  <c r="E53" i="25"/>
  <c r="M53" i="25"/>
  <c r="E54" i="25"/>
  <c r="M54" i="25"/>
  <c r="E55" i="25"/>
  <c r="M55" i="25"/>
  <c r="E56" i="25"/>
  <c r="M56" i="25"/>
  <c r="E57" i="25"/>
  <c r="M57" i="25"/>
  <c r="E58" i="25"/>
  <c r="M58" i="25"/>
  <c r="E59" i="25"/>
  <c r="M59" i="25"/>
  <c r="E60" i="25"/>
  <c r="M60" i="25"/>
  <c r="C37" i="25"/>
  <c r="C41" i="25"/>
  <c r="C43" i="25"/>
  <c r="C45" i="25"/>
  <c r="C51" i="25"/>
  <c r="C53" i="25"/>
  <c r="C56" i="25"/>
  <c r="C59" i="25"/>
  <c r="F38" i="25"/>
  <c r="F40" i="25"/>
  <c r="F42" i="25"/>
  <c r="F46" i="25"/>
  <c r="F50" i="25"/>
  <c r="F54" i="25"/>
  <c r="C41" i="24"/>
  <c r="C44" i="24"/>
  <c r="C46" i="24"/>
  <c r="C48" i="24"/>
  <c r="C50" i="24"/>
  <c r="C53" i="24"/>
  <c r="C57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C51" i="24"/>
  <c r="C58" i="24"/>
  <c r="C60" i="24"/>
  <c r="E37" i="24"/>
  <c r="M37" i="24"/>
  <c r="E38" i="24"/>
  <c r="M38" i="24"/>
  <c r="E39" i="24"/>
  <c r="M39" i="24"/>
  <c r="E40" i="24"/>
  <c r="M40" i="24"/>
  <c r="E41" i="24"/>
  <c r="M41" i="24"/>
  <c r="E42" i="24"/>
  <c r="M42" i="24"/>
  <c r="E43" i="24"/>
  <c r="M43" i="24"/>
  <c r="E44" i="24"/>
  <c r="M44" i="24"/>
  <c r="E45" i="24"/>
  <c r="M45" i="24"/>
  <c r="E46" i="24"/>
  <c r="M46" i="24"/>
  <c r="E47" i="24"/>
  <c r="M47" i="24"/>
  <c r="E48" i="24"/>
  <c r="M48" i="24"/>
  <c r="E49" i="24"/>
  <c r="M49" i="24"/>
  <c r="E50" i="24"/>
  <c r="M50" i="24"/>
  <c r="E51" i="24"/>
  <c r="M51" i="24"/>
  <c r="E52" i="24"/>
  <c r="M52" i="24"/>
  <c r="E53" i="24"/>
  <c r="M53" i="24"/>
  <c r="E54" i="24"/>
  <c r="M54" i="24"/>
  <c r="E55" i="24"/>
  <c r="M55" i="24"/>
  <c r="E56" i="24"/>
  <c r="M56" i="24"/>
  <c r="E57" i="24"/>
  <c r="M57" i="24"/>
  <c r="E58" i="24"/>
  <c r="M58" i="24"/>
  <c r="E59" i="24"/>
  <c r="M59" i="24"/>
  <c r="E60" i="24"/>
  <c r="M60" i="24"/>
  <c r="C37" i="24"/>
  <c r="C39" i="24"/>
  <c r="C56" i="24"/>
  <c r="N37" i="24"/>
  <c r="F38" i="24"/>
  <c r="N38" i="24"/>
  <c r="N39" i="24"/>
  <c r="F40" i="24"/>
  <c r="N40" i="24"/>
  <c r="N41" i="24"/>
  <c r="F42" i="24"/>
  <c r="N42" i="24"/>
  <c r="F43" i="24"/>
  <c r="N43" i="24"/>
  <c r="N44" i="24"/>
  <c r="F45" i="24"/>
  <c r="N45" i="24"/>
  <c r="N46" i="24"/>
  <c r="F47" i="24"/>
  <c r="N47" i="24"/>
  <c r="N48" i="24"/>
  <c r="F49" i="24"/>
  <c r="N49" i="24"/>
  <c r="N50" i="24"/>
  <c r="N51" i="24"/>
  <c r="F52" i="24"/>
  <c r="N52" i="24"/>
  <c r="N53" i="24"/>
  <c r="F54" i="24"/>
  <c r="N54" i="24"/>
  <c r="F55" i="24"/>
  <c r="N55" i="24"/>
  <c r="N56" i="24"/>
  <c r="N57" i="24"/>
  <c r="N58" i="24"/>
  <c r="F59" i="24"/>
  <c r="N59" i="24"/>
  <c r="N60" i="24"/>
  <c r="O51" i="24"/>
  <c r="O52" i="24"/>
  <c r="O53" i="24"/>
  <c r="O54" i="24"/>
  <c r="O55" i="24"/>
  <c r="O56" i="24"/>
  <c r="O57" i="24"/>
  <c r="O58" i="24"/>
  <c r="O59" i="24"/>
  <c r="O60" i="24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D37" i="23"/>
  <c r="D38" i="23"/>
  <c r="D39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41" i="23"/>
  <c r="E37" i="23"/>
  <c r="M37" i="23"/>
  <c r="E38" i="23"/>
  <c r="M38" i="23"/>
  <c r="E39" i="23"/>
  <c r="M39" i="23"/>
  <c r="E40" i="23"/>
  <c r="M40" i="23"/>
  <c r="E41" i="23"/>
  <c r="M41" i="23"/>
  <c r="E42" i="23"/>
  <c r="M42" i="23"/>
  <c r="E43" i="23"/>
  <c r="M43" i="23"/>
  <c r="E44" i="23"/>
  <c r="M44" i="23"/>
  <c r="E45" i="23"/>
  <c r="M45" i="23"/>
  <c r="E46" i="23"/>
  <c r="M46" i="23"/>
  <c r="E47" i="23"/>
  <c r="M47" i="23"/>
  <c r="E48" i="23"/>
  <c r="M48" i="23"/>
  <c r="E49" i="23"/>
  <c r="M49" i="23"/>
  <c r="E50" i="23"/>
  <c r="M50" i="23"/>
  <c r="E51" i="23"/>
  <c r="M51" i="23"/>
  <c r="E52" i="23"/>
  <c r="M52" i="23"/>
  <c r="E53" i="23"/>
  <c r="M53" i="23"/>
  <c r="E54" i="23"/>
  <c r="M54" i="23"/>
  <c r="E55" i="23"/>
  <c r="M55" i="23"/>
  <c r="E56" i="23"/>
  <c r="M56" i="23"/>
  <c r="E57" i="23"/>
  <c r="M57" i="23"/>
  <c r="E58" i="23"/>
  <c r="M58" i="23"/>
  <c r="E59" i="23"/>
  <c r="M59" i="23"/>
  <c r="E60" i="23"/>
  <c r="M60" i="23"/>
  <c r="D42" i="23"/>
  <c r="N37" i="23"/>
  <c r="N38" i="23"/>
  <c r="N39" i="23"/>
  <c r="F40" i="23"/>
  <c r="N40" i="23"/>
  <c r="N41" i="23"/>
  <c r="N42" i="23"/>
  <c r="N43" i="23"/>
  <c r="N44" i="23"/>
  <c r="N45" i="23"/>
  <c r="N46" i="23"/>
  <c r="N47" i="23"/>
  <c r="N48" i="23"/>
  <c r="N49" i="23"/>
  <c r="N50" i="23"/>
  <c r="N51" i="23"/>
  <c r="N52" i="23"/>
  <c r="N53" i="23"/>
  <c r="N54" i="23"/>
  <c r="N55" i="23"/>
  <c r="N56" i="23"/>
  <c r="N57" i="23"/>
  <c r="N58" i="23"/>
  <c r="N59" i="23"/>
  <c r="N60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L60" i="22" l="1"/>
  <c r="P60" i="22" s="1"/>
  <c r="G60" i="22"/>
  <c r="H60" i="22" s="1"/>
  <c r="B60" i="22"/>
  <c r="F60" i="22" s="1"/>
  <c r="A60" i="22"/>
  <c r="L59" i="22"/>
  <c r="P59" i="22" s="1"/>
  <c r="G59" i="22"/>
  <c r="H59" i="22" s="1"/>
  <c r="B59" i="22"/>
  <c r="F59" i="22" s="1"/>
  <c r="A59" i="22"/>
  <c r="L58" i="22"/>
  <c r="P58" i="22" s="1"/>
  <c r="G58" i="22"/>
  <c r="H58" i="22" s="1"/>
  <c r="B58" i="22"/>
  <c r="F58" i="22" s="1"/>
  <c r="A58" i="22"/>
  <c r="L57" i="22"/>
  <c r="P57" i="22" s="1"/>
  <c r="G57" i="22"/>
  <c r="H57" i="22" s="1"/>
  <c r="B57" i="22"/>
  <c r="F57" i="22" s="1"/>
  <c r="A57" i="22"/>
  <c r="L56" i="22"/>
  <c r="P56" i="22" s="1"/>
  <c r="G56" i="22"/>
  <c r="H56" i="22" s="1"/>
  <c r="B56" i="22"/>
  <c r="F56" i="22" s="1"/>
  <c r="A56" i="22"/>
  <c r="L55" i="22"/>
  <c r="P55" i="22" s="1"/>
  <c r="G55" i="22"/>
  <c r="H55" i="22" s="1"/>
  <c r="B55" i="22"/>
  <c r="F55" i="22" s="1"/>
  <c r="A55" i="22"/>
  <c r="L54" i="22"/>
  <c r="P54" i="22" s="1"/>
  <c r="G54" i="22"/>
  <c r="H54" i="22" s="1"/>
  <c r="B54" i="22"/>
  <c r="F54" i="22" s="1"/>
  <c r="A54" i="22"/>
  <c r="L53" i="22"/>
  <c r="P53" i="22" s="1"/>
  <c r="G53" i="22"/>
  <c r="H53" i="22" s="1"/>
  <c r="B53" i="22"/>
  <c r="F53" i="22" s="1"/>
  <c r="A53" i="22"/>
  <c r="L52" i="22"/>
  <c r="P52" i="22" s="1"/>
  <c r="G52" i="22"/>
  <c r="H52" i="22" s="1"/>
  <c r="B52" i="22"/>
  <c r="F52" i="22" s="1"/>
  <c r="A52" i="22"/>
  <c r="L51" i="22"/>
  <c r="P51" i="22" s="1"/>
  <c r="G51" i="22"/>
  <c r="H51" i="22" s="1"/>
  <c r="B51" i="22"/>
  <c r="F51" i="22" s="1"/>
  <c r="A51" i="22"/>
  <c r="L50" i="22"/>
  <c r="P50" i="22" s="1"/>
  <c r="G50" i="22"/>
  <c r="H50" i="22" s="1"/>
  <c r="B50" i="22"/>
  <c r="F50" i="22" s="1"/>
  <c r="A50" i="22"/>
  <c r="L49" i="22"/>
  <c r="P49" i="22" s="1"/>
  <c r="G49" i="22"/>
  <c r="H49" i="22" s="1"/>
  <c r="B49" i="22"/>
  <c r="F49" i="22" s="1"/>
  <c r="A49" i="22"/>
  <c r="L48" i="22"/>
  <c r="P48" i="22" s="1"/>
  <c r="G48" i="22"/>
  <c r="H48" i="22" s="1"/>
  <c r="B48" i="22"/>
  <c r="F48" i="22" s="1"/>
  <c r="A48" i="22"/>
  <c r="L47" i="22"/>
  <c r="P47" i="22" s="1"/>
  <c r="G47" i="22"/>
  <c r="H47" i="22" s="1"/>
  <c r="B47" i="22"/>
  <c r="F47" i="22" s="1"/>
  <c r="A47" i="22"/>
  <c r="L46" i="22"/>
  <c r="P46" i="22" s="1"/>
  <c r="G46" i="22"/>
  <c r="H46" i="22" s="1"/>
  <c r="B46" i="22"/>
  <c r="F46" i="22" s="1"/>
  <c r="A46" i="22"/>
  <c r="L45" i="22"/>
  <c r="P45" i="22" s="1"/>
  <c r="G45" i="22"/>
  <c r="H45" i="22" s="1"/>
  <c r="B45" i="22"/>
  <c r="F45" i="22" s="1"/>
  <c r="A45" i="22"/>
  <c r="L44" i="22"/>
  <c r="P44" i="22" s="1"/>
  <c r="G44" i="22"/>
  <c r="H44" i="22" s="1"/>
  <c r="B44" i="22"/>
  <c r="F44" i="22" s="1"/>
  <c r="A44" i="22"/>
  <c r="L43" i="22"/>
  <c r="P43" i="22" s="1"/>
  <c r="G43" i="22"/>
  <c r="H43" i="22" s="1"/>
  <c r="B43" i="22"/>
  <c r="C43" i="22" s="1"/>
  <c r="A43" i="22"/>
  <c r="L42" i="22"/>
  <c r="P42" i="22" s="1"/>
  <c r="G42" i="22"/>
  <c r="H42" i="22" s="1"/>
  <c r="B42" i="22"/>
  <c r="F42" i="22" s="1"/>
  <c r="A42" i="22"/>
  <c r="L41" i="22"/>
  <c r="P41" i="22" s="1"/>
  <c r="G41" i="22"/>
  <c r="H41" i="22" s="1"/>
  <c r="B41" i="22"/>
  <c r="F41" i="22" s="1"/>
  <c r="A41" i="22"/>
  <c r="L40" i="22"/>
  <c r="P40" i="22" s="1"/>
  <c r="G40" i="22"/>
  <c r="H40" i="22" s="1"/>
  <c r="B40" i="22"/>
  <c r="F40" i="22" s="1"/>
  <c r="A40" i="22"/>
  <c r="L39" i="22"/>
  <c r="P39" i="22" s="1"/>
  <c r="G39" i="22"/>
  <c r="H39" i="22" s="1"/>
  <c r="B39" i="22"/>
  <c r="C39" i="22" s="1"/>
  <c r="A39" i="22"/>
  <c r="L38" i="22"/>
  <c r="P38" i="22" s="1"/>
  <c r="G38" i="22"/>
  <c r="H38" i="22" s="1"/>
  <c r="B38" i="22"/>
  <c r="C38" i="22" s="1"/>
  <c r="A38" i="22"/>
  <c r="L37" i="22"/>
  <c r="P37" i="22" s="1"/>
  <c r="G37" i="22"/>
  <c r="H37" i="22" s="1"/>
  <c r="B37" i="22"/>
  <c r="F37" i="22" s="1"/>
  <c r="A37" i="22"/>
  <c r="J45" i="22" l="1"/>
  <c r="K57" i="22"/>
  <c r="O46" i="22"/>
  <c r="J47" i="22"/>
  <c r="K55" i="22"/>
  <c r="I55" i="22"/>
  <c r="O59" i="22"/>
  <c r="K54" i="22"/>
  <c r="C55" i="22"/>
  <c r="O51" i="22"/>
  <c r="I53" i="22"/>
  <c r="I56" i="22"/>
  <c r="I57" i="22"/>
  <c r="J53" i="22"/>
  <c r="J56" i="22"/>
  <c r="J49" i="22"/>
  <c r="K53" i="22"/>
  <c r="C56" i="22"/>
  <c r="K56" i="22"/>
  <c r="C57" i="22"/>
  <c r="J48" i="22"/>
  <c r="O50" i="22"/>
  <c r="J54" i="22"/>
  <c r="J55" i="22"/>
  <c r="J57" i="22"/>
  <c r="J50" i="22"/>
  <c r="O44" i="22"/>
  <c r="C52" i="22"/>
  <c r="I58" i="22"/>
  <c r="C47" i="22"/>
  <c r="C48" i="22"/>
  <c r="C49" i="22"/>
  <c r="C50" i="22"/>
  <c r="C51" i="22"/>
  <c r="O54" i="22"/>
  <c r="O43" i="22"/>
  <c r="I46" i="22"/>
  <c r="O52" i="22"/>
  <c r="O57" i="22"/>
  <c r="O58" i="22"/>
  <c r="J58" i="22"/>
  <c r="I45" i="22"/>
  <c r="J46" i="22"/>
  <c r="I47" i="22"/>
  <c r="I48" i="22"/>
  <c r="I49" i="22"/>
  <c r="I50" i="22"/>
  <c r="C60" i="22"/>
  <c r="K46" i="22"/>
  <c r="K45" i="22"/>
  <c r="K47" i="22"/>
  <c r="K48" i="22"/>
  <c r="K49" i="22"/>
  <c r="I54" i="22"/>
  <c r="C58" i="22"/>
  <c r="C59" i="22"/>
  <c r="O37" i="22"/>
  <c r="O38" i="22"/>
  <c r="O39" i="22"/>
  <c r="O40" i="22"/>
  <c r="O41" i="22"/>
  <c r="O42" i="22"/>
  <c r="O45" i="22"/>
  <c r="O53" i="22"/>
  <c r="C45" i="22"/>
  <c r="O47" i="22"/>
  <c r="I51" i="22"/>
  <c r="C53" i="22"/>
  <c r="O55" i="22"/>
  <c r="I59" i="22"/>
  <c r="I37" i="22"/>
  <c r="I38" i="22"/>
  <c r="I39" i="22"/>
  <c r="I40" i="22"/>
  <c r="I41" i="22"/>
  <c r="I42" i="22"/>
  <c r="I43" i="22"/>
  <c r="I44" i="22"/>
  <c r="C46" i="22"/>
  <c r="O48" i="22"/>
  <c r="K50" i="22"/>
  <c r="J51" i="22"/>
  <c r="I52" i="22"/>
  <c r="C54" i="22"/>
  <c r="O56" i="22"/>
  <c r="K58" i="22"/>
  <c r="J59" i="22"/>
  <c r="I60" i="22"/>
  <c r="J37" i="22"/>
  <c r="J38" i="22"/>
  <c r="J39" i="22"/>
  <c r="J40" i="22"/>
  <c r="J41" i="22"/>
  <c r="J42" i="22"/>
  <c r="J43" i="22"/>
  <c r="J44" i="22"/>
  <c r="O49" i="22"/>
  <c r="K51" i="22"/>
  <c r="J52" i="22"/>
  <c r="K59" i="22"/>
  <c r="J60" i="22"/>
  <c r="K37" i="22"/>
  <c r="K38" i="22"/>
  <c r="K39" i="22"/>
  <c r="K40" i="22"/>
  <c r="K41" i="22"/>
  <c r="K42" i="22"/>
  <c r="K43" i="22"/>
  <c r="K44" i="22"/>
  <c r="K52" i="22"/>
  <c r="K60" i="22"/>
  <c r="C41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C37" i="22"/>
  <c r="C42" i="22"/>
  <c r="E37" i="22"/>
  <c r="M37" i="22"/>
  <c r="E38" i="22"/>
  <c r="M38" i="22"/>
  <c r="E39" i="22"/>
  <c r="M39" i="22"/>
  <c r="E40" i="22"/>
  <c r="M40" i="22"/>
  <c r="E41" i="22"/>
  <c r="M41" i="22"/>
  <c r="E42" i="22"/>
  <c r="M42" i="22"/>
  <c r="E43" i="22"/>
  <c r="M43" i="22"/>
  <c r="E44" i="22"/>
  <c r="M44" i="22"/>
  <c r="E45" i="22"/>
  <c r="M45" i="22"/>
  <c r="E46" i="22"/>
  <c r="M46" i="22"/>
  <c r="E47" i="22"/>
  <c r="M47" i="22"/>
  <c r="E48" i="22"/>
  <c r="M48" i="22"/>
  <c r="E49" i="22"/>
  <c r="M49" i="22"/>
  <c r="E50" i="22"/>
  <c r="M50" i="22"/>
  <c r="E51" i="22"/>
  <c r="M51" i="22"/>
  <c r="E52" i="22"/>
  <c r="M52" i="22"/>
  <c r="E53" i="22"/>
  <c r="M53" i="22"/>
  <c r="E54" i="22"/>
  <c r="M54" i="22"/>
  <c r="E55" i="22"/>
  <c r="M55" i="22"/>
  <c r="E56" i="22"/>
  <c r="M56" i="22"/>
  <c r="E57" i="22"/>
  <c r="M57" i="22"/>
  <c r="E58" i="22"/>
  <c r="M58" i="22"/>
  <c r="E59" i="22"/>
  <c r="M59" i="22"/>
  <c r="E60" i="22"/>
  <c r="M60" i="22"/>
  <c r="C40" i="22"/>
  <c r="C44" i="22"/>
  <c r="N37" i="22"/>
  <c r="F38" i="22"/>
  <c r="N38" i="22"/>
  <c r="F39" i="22"/>
  <c r="N39" i="22"/>
  <c r="N40" i="22"/>
  <c r="N41" i="22"/>
  <c r="N42" i="22"/>
  <c r="F43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N60" i="22"/>
  <c r="O60" i="22"/>
</calcChain>
</file>

<file path=xl/sharedStrings.xml><?xml version="1.0" encoding="utf-8"?>
<sst xmlns="http://schemas.openxmlformats.org/spreadsheetml/2006/main" count="344" uniqueCount="44">
  <si>
    <t>sample size</t>
  </si>
  <si>
    <t>iterations</t>
  </si>
  <si>
    <t>R0-</t>
  </si>
  <si>
    <t>R0+</t>
  </si>
  <si>
    <t>R0_d</t>
  </si>
  <si>
    <t>mu</t>
  </si>
  <si>
    <t>seed</t>
  </si>
  <si>
    <t>R0</t>
  </si>
  <si>
    <t>lnR0</t>
  </si>
  <si>
    <t>MLE r</t>
  </si>
  <si>
    <t>MLE ln r</t>
  </si>
  <si>
    <t>MLE s^</t>
  </si>
  <si>
    <t>MLE s</t>
  </si>
  <si>
    <t>MLE_EM r</t>
  </si>
  <si>
    <t>MLE_EM ln r</t>
  </si>
  <si>
    <t>MLE_EM s^</t>
  </si>
  <si>
    <t>MLE_EM s</t>
  </si>
  <si>
    <t>MOM r</t>
  </si>
  <si>
    <t>MOM ln r</t>
  </si>
  <si>
    <t>MOM s^</t>
  </si>
  <si>
    <t>MOM s</t>
  </si>
  <si>
    <t>MLE - s^</t>
  </si>
  <si>
    <t>MLE + s^</t>
  </si>
  <si>
    <t>MLE - s</t>
  </si>
  <si>
    <t>MLE + s</t>
  </si>
  <si>
    <t>MLE</t>
  </si>
  <si>
    <t>MLE_EM</t>
  </si>
  <si>
    <t>MLE_EM - s^</t>
  </si>
  <si>
    <t>MLE_EM + s^</t>
  </si>
  <si>
    <t>MLE_EM - s</t>
  </si>
  <si>
    <t>MLE_EM + s</t>
  </si>
  <si>
    <t>MOM</t>
  </si>
  <si>
    <t>MOM - s^</t>
  </si>
  <si>
    <t>MOM + s^</t>
  </si>
  <si>
    <t>MOM - s</t>
  </si>
  <si>
    <t>MOM + s</t>
  </si>
  <si>
    <t>Ratio</t>
  </si>
  <si>
    <t>NaN</t>
  </si>
  <si>
    <t>Success</t>
  </si>
  <si>
    <t>Failures</t>
  </si>
  <si>
    <t>log10 R0</t>
  </si>
  <si>
    <t>MLE log10 r</t>
  </si>
  <si>
    <t>MLE_EM log10 r</t>
  </si>
  <si>
    <t>MOM log10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</si>
</sst>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" fontId="0" fillId="0" borderId="0" xfId="0" applyNumberFormat="1"/>
    <xf numFmtId="164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1" fontId="0" fillId="0" borderId="0" xfId="0" applyNumberFormat="1" applyFont="1" applyAlignment="1">
      <alignment horizontal="right" wrapText="1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Font="1" applyAlignment="1">
      <alignment horizontal="right" vertical="center" wrapText="1"/>
    </xf>
    <xf numFmtId="1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MOM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8'!$L$37:$L$59</c:f>
              <c:numCache>
                <c:formatCode>0.0000</c:formatCode>
                <c:ptCount val="23"/>
                <c:pt idx="0">
                  <c:v>7.2023272175311098E-2</c:v>
                </c:pt>
                <c:pt idx="1">
                  <c:v>9.8017878454676799E-2</c:v>
                </c:pt>
                <c:pt idx="2">
                  <c:v>0.11776218927515</c:v>
                </c:pt>
                <c:pt idx="3">
                  <c:v>0.12670300926932601</c:v>
                </c:pt>
                <c:pt idx="4">
                  <c:v>0.13266355593211099</c:v>
                </c:pt>
                <c:pt idx="5">
                  <c:v>0.13651307565182599</c:v>
                </c:pt>
                <c:pt idx="6">
                  <c:v>0.143798188239673</c:v>
                </c:pt>
                <c:pt idx="7">
                  <c:v>0.14446047120220501</c:v>
                </c:pt>
                <c:pt idx="8">
                  <c:v>0.14777188601486199</c:v>
                </c:pt>
                <c:pt idx="9">
                  <c:v>0.15000709101340601</c:v>
                </c:pt>
                <c:pt idx="10">
                  <c:v>0.15058658860562099</c:v>
                </c:pt>
                <c:pt idx="11">
                  <c:v>0.152407866752583</c:v>
                </c:pt>
                <c:pt idx="12">
                  <c:v>0.15178697647521</c:v>
                </c:pt>
                <c:pt idx="13">
                  <c:v>0.15348407656669699</c:v>
                </c:pt>
                <c:pt idx="14">
                  <c:v>0.15588485230587401</c:v>
                </c:pt>
                <c:pt idx="15">
                  <c:v>0.15427053758470299</c:v>
                </c:pt>
                <c:pt idx="16">
                  <c:v>0.15576067425039899</c:v>
                </c:pt>
                <c:pt idx="17">
                  <c:v>0.15563649619492401</c:v>
                </c:pt>
                <c:pt idx="18">
                  <c:v>0.15845119878568301</c:v>
                </c:pt>
                <c:pt idx="19">
                  <c:v>0.15605042304650699</c:v>
                </c:pt>
                <c:pt idx="20">
                  <c:v>0.158658162211475</c:v>
                </c:pt>
                <c:pt idx="21">
                  <c:v>0.157581952397361</c:v>
                </c:pt>
                <c:pt idx="22">
                  <c:v>0.15832702073020899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B55-4AE6-A943-0CEB172B24D1}"/>
            </c:ext>
          </c:extLst>
        </c:ser>
        <c:ser>
          <c:idx val="11"/>
          <c:order val="1"/>
          <c:tx>
            <c:v>MLE_EM -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8'!$A$37:$A$59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8'!$J$37:$J$60</c:f>
              <c:numCache>
                <c:formatCode>0.0000</c:formatCode>
                <c:ptCount val="24"/>
                <c:pt idx="0">
                  <c:v>2.0679326898870004E-2</c:v>
                </c:pt>
                <c:pt idx="1">
                  <c:v>4.6555935998567298E-2</c:v>
                </c:pt>
                <c:pt idx="2">
                  <c:v>6.7105745607706491E-2</c:v>
                </c:pt>
                <c:pt idx="3">
                  <c:v>7.7934098498438992E-2</c:v>
                </c:pt>
                <c:pt idx="4">
                  <c:v>8.5642446121782304E-2</c:v>
                </c:pt>
                <c:pt idx="5">
                  <c:v>9.0859278793455595E-2</c:v>
                </c:pt>
                <c:pt idx="6">
                  <c:v>0.10229717718949621</c:v>
                </c:pt>
                <c:pt idx="7">
                  <c:v>0.10294649712214769</c:v>
                </c:pt>
                <c:pt idx="8">
                  <c:v>0.10856505070188111</c:v>
                </c:pt>
                <c:pt idx="9">
                  <c:v>0.1123853361222253</c:v>
                </c:pt>
                <c:pt idx="10">
                  <c:v>0.11376216011755322</c:v>
                </c:pt>
                <c:pt idx="11">
                  <c:v>0.1171904297958318</c:v>
                </c:pt>
                <c:pt idx="12">
                  <c:v>0.11613223948002351</c:v>
                </c:pt>
                <c:pt idx="13">
                  <c:v>0.1193198942997068</c:v>
                </c:pt>
                <c:pt idx="14">
                  <c:v>0.12408045730871181</c:v>
                </c:pt>
                <c:pt idx="15">
                  <c:v>0.12107564764113951</c:v>
                </c:pt>
                <c:pt idx="16">
                  <c:v>0.1241570508048648</c:v>
                </c:pt>
                <c:pt idx="17">
                  <c:v>0.12372124512121789</c:v>
                </c:pt>
                <c:pt idx="18">
                  <c:v>0.13011619894109819</c:v>
                </c:pt>
                <c:pt idx="19">
                  <c:v>0.12469036990742741</c:v>
                </c:pt>
                <c:pt idx="20">
                  <c:v>0.1305801656774446</c:v>
                </c:pt>
                <c:pt idx="21">
                  <c:v>0.1280148505069186</c:v>
                </c:pt>
                <c:pt idx="22">
                  <c:v>0.12985193660391509</c:v>
                </c:pt>
                <c:pt idx="23">
                  <c:v>0.13163959719535831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B55-4AE6-A943-0CEB172B24D1}"/>
            </c:ext>
          </c:extLst>
        </c:ser>
        <c:ser>
          <c:idx val="5"/>
          <c:order val="2"/>
          <c:tx>
            <c:v>Identity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B55-4AE6-A943-0CEB172B24D1}"/>
            </c:ext>
          </c:extLst>
        </c:ser>
        <c:ser>
          <c:idx val="1"/>
          <c:order val="3"/>
          <c:tx>
            <c:v>MLE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8'!$B$37:$B$60</c:f>
              <c:numCache>
                <c:formatCode>0.0000</c:formatCode>
                <c:ptCount val="24"/>
                <c:pt idx="0">
                  <c:v>6.7791925539409298E-2</c:v>
                </c:pt>
                <c:pt idx="1">
                  <c:v>9.5989523778402794E-2</c:v>
                </c:pt>
                <c:pt idx="2">
                  <c:v>0.114701943471635</c:v>
                </c:pt>
                <c:pt idx="3">
                  <c:v>0.123083715994365</c:v>
                </c:pt>
                <c:pt idx="4">
                  <c:v>0.12849758245086099</c:v>
                </c:pt>
                <c:pt idx="5">
                  <c:v>0.13221711327253199</c:v>
                </c:pt>
                <c:pt idx="6">
                  <c:v>0.13880663595291501</c:v>
                </c:pt>
                <c:pt idx="7">
                  <c:v>0.139488071543654</c:v>
                </c:pt>
                <c:pt idx="8">
                  <c:v>0.142462777064987</c:v>
                </c:pt>
                <c:pt idx="9">
                  <c:v>0.14465627996849501</c:v>
                </c:pt>
                <c:pt idx="10">
                  <c:v>0.14503796938927599</c:v>
                </c:pt>
                <c:pt idx="11">
                  <c:v>0.14685207460330199</c:v>
                </c:pt>
                <c:pt idx="12">
                  <c:v>0.14619432591710499</c:v>
                </c:pt>
                <c:pt idx="13">
                  <c:v>0.14787197289120599</c:v>
                </c:pt>
                <c:pt idx="14">
                  <c:v>0.15018283208889599</c:v>
                </c:pt>
                <c:pt idx="15">
                  <c:v>0.148512263574167</c:v>
                </c:pt>
                <c:pt idx="16">
                  <c:v>0.14985862546420101</c:v>
                </c:pt>
                <c:pt idx="17">
                  <c:v>0.14984310483543301</c:v>
                </c:pt>
                <c:pt idx="18">
                  <c:v>0.15248087264618199</c:v>
                </c:pt>
                <c:pt idx="19">
                  <c:v>0.150313113755877</c:v>
                </c:pt>
                <c:pt idx="20">
                  <c:v>0.15265110993227601</c:v>
                </c:pt>
                <c:pt idx="21">
                  <c:v>0.151529199131752</c:v>
                </c:pt>
                <c:pt idx="22">
                  <c:v>0.15219089119613999</c:v>
                </c:pt>
                <c:pt idx="23">
                  <c:v>0.15281715004347701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FB55-4AE6-A943-0CEB172B24D1}"/>
            </c:ext>
          </c:extLst>
        </c:ser>
        <c:ser>
          <c:idx val="4"/>
          <c:order val="4"/>
          <c:tx>
            <c:v>MLE -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8'!$C$37:$C$60</c:f>
              <c:numCache>
                <c:formatCode>0.0000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FB55-4AE6-A943-0CEB172B24D1}"/>
            </c:ext>
          </c:extLst>
        </c:ser>
        <c:ser>
          <c:idx val="6"/>
          <c:order val="5"/>
          <c:tx>
            <c:v>MLE +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8'!$D$37:$D$60</c:f>
              <c:numCache>
                <c:formatCode>0.0000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FB55-4AE6-A943-0CEB172B24D1}"/>
            </c:ext>
          </c:extLst>
        </c:ser>
        <c:ser>
          <c:idx val="7"/>
          <c:order val="6"/>
          <c:tx>
            <c:v>MLE -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8'!$E$37:$E$60</c:f>
              <c:numCache>
                <c:formatCode>0.0000</c:formatCode>
                <c:ptCount val="24"/>
                <c:pt idx="0">
                  <c:v>2.0682456660292295E-2</c:v>
                </c:pt>
                <c:pt idx="1">
                  <c:v>4.6565714889936292E-2</c:v>
                </c:pt>
                <c:pt idx="2">
                  <c:v>6.7074921045213204E-2</c:v>
                </c:pt>
                <c:pt idx="3">
                  <c:v>7.7875276998997295E-2</c:v>
                </c:pt>
                <c:pt idx="4">
                  <c:v>8.5574813105098679E-2</c:v>
                </c:pt>
                <c:pt idx="5">
                  <c:v>9.0769967004437485E-2</c:v>
                </c:pt>
                <c:pt idx="6">
                  <c:v>0.10215546541897701</c:v>
                </c:pt>
                <c:pt idx="7">
                  <c:v>0.1027962846821221</c:v>
                </c:pt>
                <c:pt idx="8">
                  <c:v>0.1084084232173366</c:v>
                </c:pt>
                <c:pt idx="9">
                  <c:v>0.11222329111162072</c:v>
                </c:pt>
                <c:pt idx="10">
                  <c:v>0.113592430087195</c:v>
                </c:pt>
                <c:pt idx="11">
                  <c:v>0.1170447086801182</c:v>
                </c:pt>
                <c:pt idx="12">
                  <c:v>0.11595661066675078</c:v>
                </c:pt>
                <c:pt idx="13">
                  <c:v>0.11916325091984489</c:v>
                </c:pt>
                <c:pt idx="14">
                  <c:v>0.12391845811565939</c:v>
                </c:pt>
                <c:pt idx="15">
                  <c:v>0.120900215320718</c:v>
                </c:pt>
                <c:pt idx="16">
                  <c:v>0.1239321028884862</c:v>
                </c:pt>
                <c:pt idx="17">
                  <c:v>0.12350266464604011</c:v>
                </c:pt>
                <c:pt idx="18">
                  <c:v>0.12987358103375229</c:v>
                </c:pt>
                <c:pt idx="19">
                  <c:v>0.12454061173413281</c:v>
                </c:pt>
                <c:pt idx="20">
                  <c:v>0.1303070793833333</c:v>
                </c:pt>
                <c:pt idx="21">
                  <c:v>0.12767802035774711</c:v>
                </c:pt>
                <c:pt idx="22">
                  <c:v>0.1295100996897198</c:v>
                </c:pt>
                <c:pt idx="23">
                  <c:v>0.1312770560597771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FB55-4AE6-A943-0CEB172B24D1}"/>
            </c:ext>
          </c:extLst>
        </c:ser>
        <c:ser>
          <c:idx val="8"/>
          <c:order val="7"/>
          <c:tx>
            <c:v>MLE +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8'!$F$37:$F$60</c:f>
              <c:numCache>
                <c:formatCode>0.0000</c:formatCode>
                <c:ptCount val="24"/>
                <c:pt idx="0">
                  <c:v>0.1149013944185263</c:v>
                </c:pt>
                <c:pt idx="1">
                  <c:v>0.14541333266686929</c:v>
                </c:pt>
                <c:pt idx="2">
                  <c:v>0.16232896589805679</c:v>
                </c:pt>
                <c:pt idx="3">
                  <c:v>0.16829215498973271</c:v>
                </c:pt>
                <c:pt idx="4">
                  <c:v>0.17142035179662329</c:v>
                </c:pt>
                <c:pt idx="5">
                  <c:v>0.1736642595406265</c:v>
                </c:pt>
                <c:pt idx="6">
                  <c:v>0.175457806486853</c:v>
                </c:pt>
                <c:pt idx="7">
                  <c:v>0.17617985840518591</c:v>
                </c:pt>
                <c:pt idx="8">
                  <c:v>0.1765171309126374</c:v>
                </c:pt>
                <c:pt idx="9">
                  <c:v>0.17708926882536929</c:v>
                </c:pt>
                <c:pt idx="10">
                  <c:v>0.17648350869135698</c:v>
                </c:pt>
                <c:pt idx="11">
                  <c:v>0.1766594405264858</c:v>
                </c:pt>
                <c:pt idx="12">
                  <c:v>0.1764320411674592</c:v>
                </c:pt>
                <c:pt idx="13">
                  <c:v>0.17658069486256708</c:v>
                </c:pt>
                <c:pt idx="14">
                  <c:v>0.1764472060621326</c:v>
                </c:pt>
                <c:pt idx="15">
                  <c:v>0.17612431182761601</c:v>
                </c:pt>
                <c:pt idx="16">
                  <c:v>0.1757851480399158</c:v>
                </c:pt>
                <c:pt idx="17">
                  <c:v>0.17618354502482592</c:v>
                </c:pt>
                <c:pt idx="18">
                  <c:v>0.17508816425861168</c:v>
                </c:pt>
                <c:pt idx="19">
                  <c:v>0.17608561577762119</c:v>
                </c:pt>
                <c:pt idx="20">
                  <c:v>0.17499514048121873</c:v>
                </c:pt>
                <c:pt idx="21">
                  <c:v>0.17538037790575689</c:v>
                </c:pt>
                <c:pt idx="22">
                  <c:v>0.17487168270256018</c:v>
                </c:pt>
                <c:pt idx="23">
                  <c:v>0.17435724402717692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FB55-4AE6-A943-0CEB172B24D1}"/>
            </c:ext>
          </c:extLst>
        </c:ser>
        <c:ser>
          <c:idx val="2"/>
          <c:order val="8"/>
          <c:tx>
            <c:v>MLE_EM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8'!$G$37:$G$60</c:f>
              <c:numCache>
                <c:formatCode>0.0000</c:formatCode>
                <c:ptCount val="24"/>
                <c:pt idx="0">
                  <c:v>6.7809393768093307E-2</c:v>
                </c:pt>
                <c:pt idx="1">
                  <c:v>9.6079917130432596E-2</c:v>
                </c:pt>
                <c:pt idx="2">
                  <c:v>0.114908924319681</c:v>
                </c:pt>
                <c:pt idx="3">
                  <c:v>0.123256185588574</c:v>
                </c:pt>
                <c:pt idx="4">
                  <c:v>0.128635033733314</c:v>
                </c:pt>
                <c:pt idx="5">
                  <c:v>0.13239198500791399</c:v>
                </c:pt>
                <c:pt idx="6">
                  <c:v>0.13905771525945301</c:v>
                </c:pt>
                <c:pt idx="7">
                  <c:v>0.13974901556475799</c:v>
                </c:pt>
                <c:pt idx="8">
                  <c:v>0.14270565379360101</c:v>
                </c:pt>
                <c:pt idx="9">
                  <c:v>0.14488590860264</c:v>
                </c:pt>
                <c:pt idx="10">
                  <c:v>0.14527941800719901</c:v>
                </c:pt>
                <c:pt idx="11">
                  <c:v>0.147034257243743</c:v>
                </c:pt>
                <c:pt idx="12">
                  <c:v>0.146436016594921</c:v>
                </c:pt>
                <c:pt idx="13">
                  <c:v>0.14805791346506</c:v>
                </c:pt>
                <c:pt idx="14">
                  <c:v>0.15036313409852001</c:v>
                </c:pt>
                <c:pt idx="15">
                  <c:v>0.148735919533724</c:v>
                </c:pt>
                <c:pt idx="16">
                  <c:v>0.15014510861761601</c:v>
                </c:pt>
                <c:pt idx="17">
                  <c:v>0.15011852014433499</c:v>
                </c:pt>
                <c:pt idx="18">
                  <c:v>0.15275077899914999</c:v>
                </c:pt>
                <c:pt idx="19">
                  <c:v>0.150464170296987</c:v>
                </c:pt>
                <c:pt idx="20">
                  <c:v>0.15296348678539801</c:v>
                </c:pt>
                <c:pt idx="21">
                  <c:v>0.15195312480072101</c:v>
                </c:pt>
                <c:pt idx="22">
                  <c:v>0.152617836632746</c:v>
                </c:pt>
                <c:pt idx="23">
                  <c:v>0.153255959991489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FB55-4AE6-A943-0CEB172B24D1}"/>
            </c:ext>
          </c:extLst>
        </c:ser>
        <c:ser>
          <c:idx val="9"/>
          <c:order val="9"/>
          <c:tx>
            <c:v>MLE_EM -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8'!$H$37:$H$59</c:f>
              <c:numCache>
                <c:formatCode>0.0000</c:formatCode>
                <c:ptCount val="23"/>
                <c:pt idx="0">
                  <c:v>1.6144950420253705E-2</c:v>
                </c:pt>
                <c:pt idx="1">
                  <c:v>1.4104520431272194E-2</c:v>
                </c:pt>
                <c:pt idx="2">
                  <c:v>1.0830160052586996E-2</c:v>
                </c:pt>
                <c:pt idx="3">
                  <c:v>9.1442076082939999E-3</c:v>
                </c:pt>
                <c:pt idx="4">
                  <c:v>7.9975561808650064E-3</c:v>
                </c:pt>
                <c:pt idx="5">
                  <c:v>7.0318344761319818E-3</c:v>
                </c:pt>
                <c:pt idx="6">
                  <c:v>5.5761684333100192E-3</c:v>
                </c:pt>
                <c:pt idx="7">
                  <c:v>5.2785797303959991E-3</c:v>
                </c:pt>
                <c:pt idx="8">
                  <c:v>4.6007453241840024E-3</c:v>
                </c:pt>
                <c:pt idx="9">
                  <c:v>3.9750187932320047E-3</c:v>
                </c:pt>
                <c:pt idx="10">
                  <c:v>3.9922821173800083E-3</c:v>
                </c:pt>
                <c:pt idx="11">
                  <c:v>3.5085071466700035E-3</c:v>
                </c:pt>
                <c:pt idx="12">
                  <c:v>3.698830546818993E-3</c:v>
                </c:pt>
                <c:pt idx="13">
                  <c:v>3.2324630638820018E-3</c:v>
                </c:pt>
                <c:pt idx="14">
                  <c:v>2.5526392383100061E-3</c:v>
                </c:pt>
                <c:pt idx="15">
                  <c:v>3.1010331265899915E-3</c:v>
                </c:pt>
                <c:pt idx="16">
                  <c:v>2.7056414237740245E-3</c:v>
                </c:pt>
                <c:pt idx="17">
                  <c:v>2.6527032237119996E-3</c:v>
                </c:pt>
                <c:pt idx="18">
                  <c:v>1.9337831266179883E-3</c:v>
                </c:pt>
                <c:pt idx="19">
                  <c:v>2.5861650856799923E-3</c:v>
                </c:pt>
                <c:pt idx="20">
                  <c:v>1.8628073464970196E-3</c:v>
                </c:pt>
                <c:pt idx="21">
                  <c:v>2.1413852964740077E-3</c:v>
                </c:pt>
                <c:pt idx="22">
                  <c:v>1.9813961561729876E-3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FB55-4AE6-A943-0CEB172B24D1}"/>
            </c:ext>
          </c:extLst>
        </c:ser>
        <c:ser>
          <c:idx val="0"/>
          <c:order val="1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FB55-4AE6-A943-0CEB172B24D1}"/>
            </c:ext>
          </c:extLst>
        </c:ser>
        <c:ser>
          <c:idx val="10"/>
          <c:order val="11"/>
          <c:tx>
            <c:v>MLE_EM +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8'!$A$37:$A$59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8'!$I$37:$I$60</c:f>
              <c:numCache>
                <c:formatCode>0.0000</c:formatCode>
                <c:ptCount val="24"/>
                <c:pt idx="0">
                  <c:v>0.1194738371159329</c:v>
                </c:pt>
                <c:pt idx="1">
                  <c:v>0.178055313829593</c:v>
                </c:pt>
                <c:pt idx="2">
                  <c:v>0.218987688586775</c:v>
                </c:pt>
                <c:pt idx="3">
                  <c:v>0.23736816356885398</c:v>
                </c:pt>
                <c:pt idx="4">
                  <c:v>0.249272511285763</c:v>
                </c:pt>
                <c:pt idx="5">
                  <c:v>0.257752135539696</c:v>
                </c:pt>
                <c:pt idx="6">
                  <c:v>0.27253926208559598</c:v>
                </c:pt>
                <c:pt idx="7">
                  <c:v>0.27421945139911996</c:v>
                </c:pt>
                <c:pt idx="8">
                  <c:v>0.28081056226301804</c:v>
                </c:pt>
                <c:pt idx="9">
                  <c:v>0.28579679841204797</c:v>
                </c:pt>
                <c:pt idx="10">
                  <c:v>0.28656655389701802</c:v>
                </c:pt>
                <c:pt idx="11">
                  <c:v>0.290560007340816</c:v>
                </c:pt>
                <c:pt idx="12">
                  <c:v>0.28917320264302304</c:v>
                </c:pt>
                <c:pt idx="13">
                  <c:v>0.29288336386623803</c:v>
                </c:pt>
                <c:pt idx="14">
                  <c:v>0.29817362895873001</c:v>
                </c:pt>
                <c:pt idx="15">
                  <c:v>0.29437080594085802</c:v>
                </c:pt>
                <c:pt idx="16">
                  <c:v>0.29758457581145803</c:v>
                </c:pt>
                <c:pt idx="17">
                  <c:v>0.29758433706495802</c:v>
                </c:pt>
                <c:pt idx="18">
                  <c:v>0.30356777487168196</c:v>
                </c:pt>
                <c:pt idx="19">
                  <c:v>0.29834217550829401</c:v>
                </c:pt>
                <c:pt idx="20">
                  <c:v>0.30406416622429899</c:v>
                </c:pt>
                <c:pt idx="21">
                  <c:v>0.30176486430496802</c:v>
                </c:pt>
                <c:pt idx="22">
                  <c:v>0.30325427710931901</c:v>
                </c:pt>
                <c:pt idx="23">
                  <c:v>0.30469140049552601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FB55-4AE6-A943-0CEB172B24D1}"/>
            </c:ext>
          </c:extLst>
        </c:ser>
        <c:ser>
          <c:idx val="12"/>
          <c:order val="12"/>
          <c:tx>
            <c:v>MLE_EM +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8'!$K$37:$K$60</c:f>
              <c:numCache>
                <c:formatCode>0.0000</c:formatCode>
                <c:ptCount val="24"/>
                <c:pt idx="0">
                  <c:v>0.11493946063731661</c:v>
                </c:pt>
                <c:pt idx="1">
                  <c:v>0.14560389826229789</c:v>
                </c:pt>
                <c:pt idx="2">
                  <c:v>0.16271210303165551</c:v>
                </c:pt>
                <c:pt idx="3">
                  <c:v>0.16857827267870901</c:v>
                </c:pt>
                <c:pt idx="4">
                  <c:v>0.17162762134484572</c:v>
                </c:pt>
                <c:pt idx="5">
                  <c:v>0.17392469122237239</c:v>
                </c:pt>
                <c:pt idx="6">
                  <c:v>0.17581825332940981</c:v>
                </c:pt>
                <c:pt idx="7">
                  <c:v>0.17655153400736828</c:v>
                </c:pt>
                <c:pt idx="8">
                  <c:v>0.17684625688532091</c:v>
                </c:pt>
                <c:pt idx="9">
                  <c:v>0.17738648108305471</c:v>
                </c:pt>
                <c:pt idx="10">
                  <c:v>0.17679667589684481</c:v>
                </c:pt>
                <c:pt idx="11">
                  <c:v>0.1768780846916542</c:v>
                </c:pt>
                <c:pt idx="12">
                  <c:v>0.17673979370981852</c:v>
                </c:pt>
                <c:pt idx="13">
                  <c:v>0.17679593263041321</c:v>
                </c:pt>
                <c:pt idx="14">
                  <c:v>0.1766458108883282</c:v>
                </c:pt>
                <c:pt idx="15">
                  <c:v>0.1763961914263085</c:v>
                </c:pt>
                <c:pt idx="16">
                  <c:v>0.17613316643036722</c:v>
                </c:pt>
                <c:pt idx="17">
                  <c:v>0.17651579516745208</c:v>
                </c:pt>
                <c:pt idx="18">
                  <c:v>0.17538535905720179</c:v>
                </c:pt>
                <c:pt idx="19">
                  <c:v>0.17623797068654659</c:v>
                </c:pt>
                <c:pt idx="20">
                  <c:v>0.17534680789335141</c:v>
                </c:pt>
                <c:pt idx="21">
                  <c:v>0.17589139909452342</c:v>
                </c:pt>
                <c:pt idx="22">
                  <c:v>0.17538373666157692</c:v>
                </c:pt>
                <c:pt idx="23">
                  <c:v>0.17487232278761969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FB55-4AE6-A943-0CEB172B24D1}"/>
            </c:ext>
          </c:extLst>
        </c:ser>
        <c:ser>
          <c:idx val="13"/>
          <c:order val="13"/>
          <c:tx>
            <c:v>MOM -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8'!$M$37:$M$60</c:f>
              <c:numCache>
                <c:formatCode>0.0000</c:formatCode>
                <c:ptCount val="24"/>
                <c:pt idx="0">
                  <c:v>1.68452341284955E-2</c:v>
                </c:pt>
                <c:pt idx="1">
                  <c:v>1.3275925684665804E-2</c:v>
                </c:pt>
                <c:pt idx="2">
                  <c:v>9.5814101979580096E-3</c:v>
                </c:pt>
                <c:pt idx="3">
                  <c:v>7.7621361907800057E-3</c:v>
                </c:pt>
                <c:pt idx="4">
                  <c:v>6.5698795504030016E-3</c:v>
                </c:pt>
                <c:pt idx="5">
                  <c:v>5.5090086145689887E-3</c:v>
                </c:pt>
                <c:pt idx="6">
                  <c:v>3.9762994957230069E-3</c:v>
                </c:pt>
                <c:pt idx="7">
                  <c:v>3.6516280234340226E-3</c:v>
                </c:pt>
                <c:pt idx="8">
                  <c:v>2.9549420603209864E-3</c:v>
                </c:pt>
                <c:pt idx="9">
                  <c:v>2.2761779705950114E-3</c:v>
                </c:pt>
                <c:pt idx="10">
                  <c:v>2.3164254217589997E-3</c:v>
                </c:pt>
                <c:pt idx="11">
                  <c:v>1.7942474322970026E-3</c:v>
                </c:pt>
                <c:pt idx="12">
                  <c:v>1.9982375360829974E-3</c:v>
                </c:pt>
                <c:pt idx="13">
                  <c:v>1.4983241394109781E-3</c:v>
                </c:pt>
                <c:pt idx="14">
                  <c:v>7.692812282230066E-4</c:v>
                </c:pt>
                <c:pt idx="15">
                  <c:v>1.3676114006089812E-3</c:v>
                </c:pt>
                <c:pt idx="16">
                  <c:v>9.4599105407000561E-4</c:v>
                </c:pt>
                <c:pt idx="17">
                  <c:v>8.7558850702601498E-4</c:v>
                </c:pt>
                <c:pt idx="18">
                  <c:v>1.135156820190053E-4</c:v>
                </c:pt>
                <c:pt idx="19">
                  <c:v>8.1166954659597779E-4</c:v>
                </c:pt>
                <c:pt idx="20">
                  <c:v>3.5222631886988598E-5</c:v>
                </c:pt>
                <c:pt idx="21">
                  <c:v>3.3114592477401228E-4</c:v>
                </c:pt>
                <c:pt idx="22">
                  <c:v>1.6666932142098134E-4</c:v>
                </c:pt>
                <c:pt idx="23">
                  <c:v>-6.8209987200140709E-7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FB55-4AE6-A943-0CEB172B24D1}"/>
            </c:ext>
          </c:extLst>
        </c:ser>
        <c:ser>
          <c:idx val="14"/>
          <c:order val="14"/>
          <c:tx>
            <c:v>MOM +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8'!$N$37:$N$60</c:f>
              <c:numCache>
                <c:formatCode>0.0000</c:formatCode>
                <c:ptCount val="24"/>
                <c:pt idx="0">
                  <c:v>0.12720131022212669</c:v>
                </c:pt>
                <c:pt idx="1">
                  <c:v>0.18275983122468781</c:v>
                </c:pt>
                <c:pt idx="2">
                  <c:v>0.22594296835234201</c:v>
                </c:pt>
                <c:pt idx="3">
                  <c:v>0.24564388234787202</c:v>
                </c:pt>
                <c:pt idx="4">
                  <c:v>0.25875723231381897</c:v>
                </c:pt>
                <c:pt idx="5">
                  <c:v>0.267517142689083</c:v>
                </c:pt>
                <c:pt idx="6">
                  <c:v>0.28362007698362302</c:v>
                </c:pt>
                <c:pt idx="7">
                  <c:v>0.28526931438097602</c:v>
                </c:pt>
                <c:pt idx="8">
                  <c:v>0.292588829969403</c:v>
                </c:pt>
                <c:pt idx="9">
                  <c:v>0.29773800405621698</c:v>
                </c:pt>
                <c:pt idx="10">
                  <c:v>0.29885675178948301</c:v>
                </c:pt>
                <c:pt idx="11">
                  <c:v>0.303021486072869</c:v>
                </c:pt>
                <c:pt idx="12">
                  <c:v>0.30157571541433703</c:v>
                </c:pt>
                <c:pt idx="13">
                  <c:v>0.30546982899398301</c:v>
                </c:pt>
                <c:pt idx="14">
                  <c:v>0.31100042338352502</c:v>
                </c:pt>
                <c:pt idx="15">
                  <c:v>0.30717346376879701</c:v>
                </c:pt>
                <c:pt idx="16">
                  <c:v>0.31057535744672798</c:v>
                </c:pt>
                <c:pt idx="17">
                  <c:v>0.310397403882822</c:v>
                </c:pt>
                <c:pt idx="18">
                  <c:v>0.31678888188934701</c:v>
                </c:pt>
                <c:pt idx="19">
                  <c:v>0.31128917654641797</c:v>
                </c:pt>
                <c:pt idx="20">
                  <c:v>0.317281101791063</c:v>
                </c:pt>
                <c:pt idx="21">
                  <c:v>0.31483275886994799</c:v>
                </c:pt>
                <c:pt idx="22">
                  <c:v>0.31648737213899703</c:v>
                </c:pt>
                <c:pt idx="23">
                  <c:v>0.31806207485566995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FB55-4AE6-A943-0CEB172B24D1}"/>
            </c:ext>
          </c:extLst>
        </c:ser>
        <c:ser>
          <c:idx val="15"/>
          <c:order val="15"/>
          <c:tx>
            <c:v>MOM -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8'!$O$37:$O$60</c:f>
              <c:numCache>
                <c:formatCode>0.0000</c:formatCode>
                <c:ptCount val="24"/>
                <c:pt idx="0">
                  <c:v>2.5198654824254499E-2</c:v>
                </c:pt>
                <c:pt idx="1">
                  <c:v>4.5200354730912801E-2</c:v>
                </c:pt>
                <c:pt idx="2">
                  <c:v>6.6120247751519895E-2</c:v>
                </c:pt>
                <c:pt idx="3">
                  <c:v>7.7679639235040121E-2</c:v>
                </c:pt>
                <c:pt idx="4">
                  <c:v>8.6492261227904085E-2</c:v>
                </c:pt>
                <c:pt idx="5">
                  <c:v>9.1618279047588194E-2</c:v>
                </c:pt>
                <c:pt idx="6">
                  <c:v>0.1043504547517102</c:v>
                </c:pt>
                <c:pt idx="7">
                  <c:v>0.10482674676233711</c:v>
                </c:pt>
                <c:pt idx="8">
                  <c:v>0.11140582964319569</c:v>
                </c:pt>
                <c:pt idx="9">
                  <c:v>0.1151946042032522</c:v>
                </c:pt>
                <c:pt idx="10">
                  <c:v>0.11727631280787189</c:v>
                </c:pt>
                <c:pt idx="11">
                  <c:v>0.1207902636950164</c:v>
                </c:pt>
                <c:pt idx="12">
                  <c:v>0.11970532992852251</c:v>
                </c:pt>
                <c:pt idx="13">
                  <c:v>0.12303083706230789</c:v>
                </c:pt>
                <c:pt idx="14">
                  <c:v>0.1279424995319039</c:v>
                </c:pt>
                <c:pt idx="15">
                  <c:v>0.12520815693356979</c:v>
                </c:pt>
                <c:pt idx="16">
                  <c:v>0.1285148447186871</c:v>
                </c:pt>
                <c:pt idx="17">
                  <c:v>0.12759745488210422</c:v>
                </c:pt>
                <c:pt idx="18">
                  <c:v>0.13457408573486632</c:v>
                </c:pt>
                <c:pt idx="19">
                  <c:v>0.12885912955674958</c:v>
                </c:pt>
                <c:pt idx="20">
                  <c:v>0.13497234189239649</c:v>
                </c:pt>
                <c:pt idx="21">
                  <c:v>0.13219614804860641</c:v>
                </c:pt>
                <c:pt idx="22">
                  <c:v>0.13437965451381689</c:v>
                </c:pt>
                <c:pt idx="23">
                  <c:v>0.13645997706377938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FB55-4AE6-A943-0CEB172B24D1}"/>
            </c:ext>
          </c:extLst>
        </c:ser>
        <c:ser>
          <c:idx val="16"/>
          <c:order val="16"/>
          <c:tx>
            <c:v>MOM +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8'!$P$37:$P$60</c:f>
              <c:numCache>
                <c:formatCode>0.0000</c:formatCode>
                <c:ptCount val="24"/>
                <c:pt idx="0">
                  <c:v>0.1188478895263677</c:v>
                </c:pt>
                <c:pt idx="1">
                  <c:v>0.1508354021784408</c:v>
                </c:pt>
                <c:pt idx="2">
                  <c:v>0.16940413079878011</c:v>
                </c:pt>
                <c:pt idx="3">
                  <c:v>0.1757263793036119</c:v>
                </c:pt>
                <c:pt idx="4">
                  <c:v>0.17883485063631788</c:v>
                </c:pt>
                <c:pt idx="5">
                  <c:v>0.18140787225606381</c:v>
                </c:pt>
                <c:pt idx="6">
                  <c:v>0.18324592172763579</c:v>
                </c:pt>
                <c:pt idx="7">
                  <c:v>0.18409419564207291</c:v>
                </c:pt>
                <c:pt idx="8">
                  <c:v>0.18413794238652831</c:v>
                </c:pt>
                <c:pt idx="9">
                  <c:v>0.18481957782355982</c:v>
                </c:pt>
                <c:pt idx="10">
                  <c:v>0.18389686440337011</c:v>
                </c:pt>
                <c:pt idx="11">
                  <c:v>0.18402546981014961</c:v>
                </c:pt>
                <c:pt idx="12">
                  <c:v>0.18386862302189749</c:v>
                </c:pt>
                <c:pt idx="13">
                  <c:v>0.1839373160710861</c:v>
                </c:pt>
                <c:pt idx="14">
                  <c:v>0.18382720507984412</c:v>
                </c:pt>
                <c:pt idx="15">
                  <c:v>0.1833329182358362</c:v>
                </c:pt>
                <c:pt idx="16">
                  <c:v>0.18300650378211089</c:v>
                </c:pt>
                <c:pt idx="17">
                  <c:v>0.18367553750774379</c:v>
                </c:pt>
                <c:pt idx="18">
                  <c:v>0.1823283118364997</c:v>
                </c:pt>
                <c:pt idx="19">
                  <c:v>0.18324171653626439</c:v>
                </c:pt>
                <c:pt idx="20">
                  <c:v>0.18234398253055351</c:v>
                </c:pt>
                <c:pt idx="21">
                  <c:v>0.1829677567461156</c:v>
                </c:pt>
                <c:pt idx="22">
                  <c:v>0.18227438694660109</c:v>
                </c:pt>
                <c:pt idx="23">
                  <c:v>0.1816014156920186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FB55-4AE6-A943-0CEB172B2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02688"/>
        <c:axId val="160804864"/>
      </c:scatterChart>
      <c:valAx>
        <c:axId val="1608026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-25000"/>
                  <a:t>10</a:t>
                </a:r>
                <a:r>
                  <a:rPr lang="en-US"/>
                  <a:t> R_0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4864"/>
        <c:crosses val="autoZero"/>
        <c:crossBetween val="midCat"/>
        <c:minorUnit val="0.1"/>
      </c:valAx>
      <c:valAx>
        <c:axId val="16080486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</a:t>
                </a:r>
                <a:r>
                  <a:rPr lang="en-US" baseline="0"/>
                  <a:t> log</a:t>
                </a:r>
                <a:r>
                  <a:rPr lang="en-US" baseline="-25000"/>
                  <a:t>10</a:t>
                </a:r>
                <a:r>
                  <a:rPr lang="en-US" baseline="0"/>
                  <a:t> R_0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2688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MOM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16'!$L$37:$L$59</c:f>
              <c:numCache>
                <c:formatCode>0.0000</c:formatCode>
                <c:ptCount val="23"/>
                <c:pt idx="0">
                  <c:v>6.7180328011798504E-2</c:v>
                </c:pt>
                <c:pt idx="1">
                  <c:v>0.118258901497047</c:v>
                </c:pt>
                <c:pt idx="2">
                  <c:v>0.165239599151634</c:v>
                </c:pt>
                <c:pt idx="3">
                  <c:v>0.193634981170177</c:v>
                </c:pt>
                <c:pt idx="4">
                  <c:v>0.21702184828457399</c:v>
                </c:pt>
                <c:pt idx="5">
                  <c:v>0.23006054410941401</c:v>
                </c:pt>
                <c:pt idx="6">
                  <c:v>0.23953946901064799</c:v>
                </c:pt>
                <c:pt idx="7">
                  <c:v>0.24835611094935001</c:v>
                </c:pt>
                <c:pt idx="8">
                  <c:v>0.25208145261359</c:v>
                </c:pt>
                <c:pt idx="9">
                  <c:v>0.267438138807291</c:v>
                </c:pt>
                <c:pt idx="10">
                  <c:v>0.26818320714013899</c:v>
                </c:pt>
                <c:pt idx="11">
                  <c:v>0.28142886639077103</c:v>
                </c:pt>
                <c:pt idx="12">
                  <c:v>0.28395382018542198</c:v>
                </c:pt>
                <c:pt idx="13">
                  <c:v>0.28233950546425202</c:v>
                </c:pt>
                <c:pt idx="14">
                  <c:v>0.28341571527836501</c:v>
                </c:pt>
                <c:pt idx="15">
                  <c:v>0.29049386444042102</c:v>
                </c:pt>
                <c:pt idx="16">
                  <c:v>0.28896233508956698</c:v>
                </c:pt>
                <c:pt idx="17">
                  <c:v>0.295916306196148</c:v>
                </c:pt>
                <c:pt idx="18">
                  <c:v>0.29657858915868002</c:v>
                </c:pt>
                <c:pt idx="19">
                  <c:v>0.29384667193823699</c:v>
                </c:pt>
                <c:pt idx="20">
                  <c:v>0.29736505017668602</c:v>
                </c:pt>
                <c:pt idx="21">
                  <c:v>0.30166988943314199</c:v>
                </c:pt>
                <c:pt idx="22">
                  <c:v>0.30080064304481902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0B5-482A-AD18-2692C4A65CBB}"/>
            </c:ext>
          </c:extLst>
        </c:ser>
        <c:ser>
          <c:idx val="11"/>
          <c:order val="1"/>
          <c:tx>
            <c:v>MLE_EM -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16'!$A$37:$A$59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16'!$J$37:$J$60</c:f>
              <c:numCache>
                <c:formatCode>0.0000</c:formatCode>
                <c:ptCount val="24"/>
                <c:pt idx="0">
                  <c:v>1.5416202962533404E-2</c:v>
                </c:pt>
                <c:pt idx="1">
                  <c:v>3.52875312064619E-2</c:v>
                </c:pt>
                <c:pt idx="2">
                  <c:v>6.7523431008150003E-2</c:v>
                </c:pt>
                <c:pt idx="3">
                  <c:v>9.4267577547581013E-2</c:v>
                </c:pt>
                <c:pt idx="4">
                  <c:v>0.12009319346937701</c:v>
                </c:pt>
                <c:pt idx="5">
                  <c:v>0.137279720614781</c:v>
                </c:pt>
                <c:pt idx="6">
                  <c:v>0.15035643518867997</c:v>
                </c:pt>
                <c:pt idx="7">
                  <c:v>0.16131768125762</c:v>
                </c:pt>
                <c:pt idx="8">
                  <c:v>0.16804422477141298</c:v>
                </c:pt>
                <c:pt idx="9">
                  <c:v>0.18975925603612431</c:v>
                </c:pt>
                <c:pt idx="10">
                  <c:v>0.19160387191578343</c:v>
                </c:pt>
                <c:pt idx="11">
                  <c:v>0.21445634107272063</c:v>
                </c:pt>
                <c:pt idx="12">
                  <c:v>0.2167929237803034</c:v>
                </c:pt>
                <c:pt idx="13">
                  <c:v>0.2152918317070153</c:v>
                </c:pt>
                <c:pt idx="14">
                  <c:v>0.21850986572022812</c:v>
                </c:pt>
                <c:pt idx="15">
                  <c:v>0.23002027139912723</c:v>
                </c:pt>
                <c:pt idx="16">
                  <c:v>0.22775074648258051</c:v>
                </c:pt>
                <c:pt idx="17">
                  <c:v>0.24059720660320477</c:v>
                </c:pt>
                <c:pt idx="18">
                  <c:v>0.24303957434350637</c:v>
                </c:pt>
                <c:pt idx="19">
                  <c:v>0.2371186402981949</c:v>
                </c:pt>
                <c:pt idx="20">
                  <c:v>0.24499039412244838</c:v>
                </c:pt>
                <c:pt idx="21">
                  <c:v>0.25261382994732717</c:v>
                </c:pt>
                <c:pt idx="22">
                  <c:v>0.25105876201329358</c:v>
                </c:pt>
                <c:pt idx="23">
                  <c:v>0.25398066090866017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0B5-482A-AD18-2692C4A65CBB}"/>
            </c:ext>
          </c:extLst>
        </c:ser>
        <c:ser>
          <c:idx val="5"/>
          <c:order val="2"/>
          <c:tx>
            <c:v>Identity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0B5-482A-AD18-2692C4A65CBB}"/>
            </c:ext>
          </c:extLst>
        </c:ser>
        <c:ser>
          <c:idx val="1"/>
          <c:order val="3"/>
          <c:tx>
            <c:v>MLE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16'!$B$37:$B$60</c:f>
              <c:numCache>
                <c:formatCode>0.0000</c:formatCode>
                <c:ptCount val="24"/>
                <c:pt idx="0">
                  <c:v>6.2995613940779099E-2</c:v>
                </c:pt>
                <c:pt idx="1">
                  <c:v>0.124496379387533</c:v>
                </c:pt>
                <c:pt idx="2">
                  <c:v>0.18359089930223499</c:v>
                </c:pt>
                <c:pt idx="3">
                  <c:v>0.22103788388878201</c:v>
                </c:pt>
                <c:pt idx="4">
                  <c:v>0.25103107726228002</c:v>
                </c:pt>
                <c:pt idx="5">
                  <c:v>0.26958602663964898</c:v>
                </c:pt>
                <c:pt idx="6">
                  <c:v>0.281620432195897</c:v>
                </c:pt>
                <c:pt idx="7">
                  <c:v>0.29752923528784597</c:v>
                </c:pt>
                <c:pt idx="8">
                  <c:v>0.29684189177169601</c:v>
                </c:pt>
                <c:pt idx="9">
                  <c:v>0.32241226801432199</c:v>
                </c:pt>
                <c:pt idx="10">
                  <c:v>0.31702195120195797</c:v>
                </c:pt>
                <c:pt idx="11">
                  <c:v>0.33934149821417597</c:v>
                </c:pt>
                <c:pt idx="12">
                  <c:v>0.34727725640954499</c:v>
                </c:pt>
                <c:pt idx="13">
                  <c:v>0.34755572065908302</c:v>
                </c:pt>
                <c:pt idx="14">
                  <c:v>0.341933590260803</c:v>
                </c:pt>
                <c:pt idx="15">
                  <c:v>0.356121864315396</c:v>
                </c:pt>
                <c:pt idx="16">
                  <c:v>0.35347951579348702</c:v>
                </c:pt>
                <c:pt idx="17">
                  <c:v>0.36520928597756802</c:v>
                </c:pt>
                <c:pt idx="18">
                  <c:v>0.36064758935820201</c:v>
                </c:pt>
                <c:pt idx="19">
                  <c:v>0.35281410064004298</c:v>
                </c:pt>
                <c:pt idx="20">
                  <c:v>0.35433325712904701</c:v>
                </c:pt>
                <c:pt idx="21">
                  <c:v>0.363345132575219</c:v>
                </c:pt>
                <c:pt idx="22">
                  <c:v>0.37216564182205197</c:v>
                </c:pt>
                <c:pt idx="23">
                  <c:v>0.37880897521797402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20B5-482A-AD18-2692C4A65CBB}"/>
            </c:ext>
          </c:extLst>
        </c:ser>
        <c:ser>
          <c:idx val="4"/>
          <c:order val="4"/>
          <c:tx>
            <c:v>MLE -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16'!$C$37:$C$60</c:f>
              <c:numCache>
                <c:formatCode>0.0000</c:formatCode>
                <c:ptCount val="24"/>
                <c:pt idx="0">
                  <c:v>4.8276956797781698E-2</c:v>
                </c:pt>
                <c:pt idx="1">
                  <c:v>-1.5656300824047009E-2</c:v>
                </c:pt>
                <c:pt idx="2">
                  <c:v>-6.5930197995283019E-2</c:v>
                </c:pt>
                <c:pt idx="3">
                  <c:v>-0.178185945296059</c:v>
                </c:pt>
                <c:pt idx="4">
                  <c:v>-0.17159184741412298</c:v>
                </c:pt>
                <c:pt idx="5">
                  <c:v>-0.27463900045084105</c:v>
                </c:pt>
                <c:pt idx="6">
                  <c:v>-0.32431595351422698</c:v>
                </c:pt>
                <c:pt idx="7">
                  <c:v>-0.47912561181529706</c:v>
                </c:pt>
                <c:pt idx="8">
                  <c:v>-0.30136449261632398</c:v>
                </c:pt>
                <c:pt idx="9">
                  <c:v>-0.41934453973064401</c:v>
                </c:pt>
                <c:pt idx="10">
                  <c:v>-0.29705515753274303</c:v>
                </c:pt>
                <c:pt idx="11">
                  <c:v>-0.47941632747752699</c:v>
                </c:pt>
                <c:pt idx="12">
                  <c:v>-0.60288159158380705</c:v>
                </c:pt>
                <c:pt idx="13">
                  <c:v>-0.64781554636763294</c:v>
                </c:pt>
                <c:pt idx="14">
                  <c:v>-0.48333745215908502</c:v>
                </c:pt>
                <c:pt idx="15">
                  <c:v>-0.5913018437239459</c:v>
                </c:pt>
                <c:pt idx="16">
                  <c:v>-0.57655905244507399</c:v>
                </c:pt>
                <c:pt idx="17">
                  <c:v>-0.64510418548949211</c:v>
                </c:pt>
                <c:pt idx="18">
                  <c:v>-0.52902971370422791</c:v>
                </c:pt>
                <c:pt idx="19">
                  <c:v>-0.37529678634042202</c:v>
                </c:pt>
                <c:pt idx="20">
                  <c:v>-0.41418624742509497</c:v>
                </c:pt>
                <c:pt idx="21">
                  <c:v>-0.53437677594077893</c:v>
                </c:pt>
                <c:pt idx="22">
                  <c:v>-0.83068681444890791</c:v>
                </c:pt>
                <c:pt idx="23">
                  <c:v>-0.92210077909115595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20B5-482A-AD18-2692C4A65CBB}"/>
            </c:ext>
          </c:extLst>
        </c:ser>
        <c:ser>
          <c:idx val="6"/>
          <c:order val="5"/>
          <c:tx>
            <c:v>MLE +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16'!$D$37:$D$60</c:f>
              <c:numCache>
                <c:formatCode>0.0000</c:formatCode>
                <c:ptCount val="24"/>
                <c:pt idx="0">
                  <c:v>7.7714271083776501E-2</c:v>
                </c:pt>
                <c:pt idx="1">
                  <c:v>0.264649059599113</c:v>
                </c:pt>
                <c:pt idx="2">
                  <c:v>0.43311199659975297</c:v>
                </c:pt>
                <c:pt idx="3">
                  <c:v>0.62026171307362299</c:v>
                </c:pt>
                <c:pt idx="4">
                  <c:v>0.67365400193868297</c:v>
                </c:pt>
                <c:pt idx="5">
                  <c:v>0.81381105373013907</c:v>
                </c:pt>
                <c:pt idx="6">
                  <c:v>0.88755681790602092</c:v>
                </c:pt>
                <c:pt idx="7">
                  <c:v>1.0741840823909889</c:v>
                </c:pt>
                <c:pt idx="8">
                  <c:v>0.89504827615971605</c:v>
                </c:pt>
                <c:pt idx="9">
                  <c:v>1.0641690757592879</c:v>
                </c:pt>
                <c:pt idx="10">
                  <c:v>0.93109905993665898</c:v>
                </c:pt>
                <c:pt idx="11">
                  <c:v>1.158099323905879</c:v>
                </c:pt>
                <c:pt idx="12">
                  <c:v>1.297436104402897</c:v>
                </c:pt>
                <c:pt idx="13">
                  <c:v>1.342926987685799</c:v>
                </c:pt>
                <c:pt idx="14">
                  <c:v>1.1672046326806911</c:v>
                </c:pt>
                <c:pt idx="15">
                  <c:v>1.303545572354738</c:v>
                </c:pt>
                <c:pt idx="16">
                  <c:v>1.2835180840320479</c:v>
                </c:pt>
                <c:pt idx="17">
                  <c:v>1.375522757444628</c:v>
                </c:pt>
                <c:pt idx="18">
                  <c:v>1.2503248924206321</c:v>
                </c:pt>
                <c:pt idx="19">
                  <c:v>1.080924987620508</c:v>
                </c:pt>
                <c:pt idx="20">
                  <c:v>1.1228527616831889</c:v>
                </c:pt>
                <c:pt idx="21">
                  <c:v>1.261067041091217</c:v>
                </c:pt>
                <c:pt idx="22">
                  <c:v>1.575018098093012</c:v>
                </c:pt>
                <c:pt idx="23">
                  <c:v>1.6797187295271039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20B5-482A-AD18-2692C4A65CBB}"/>
            </c:ext>
          </c:extLst>
        </c:ser>
        <c:ser>
          <c:idx val="7"/>
          <c:order val="6"/>
          <c:tx>
            <c:v>MLE -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16'!$E$37:$E$60</c:f>
              <c:numCache>
                <c:formatCode>0.0000</c:formatCode>
                <c:ptCount val="24"/>
                <c:pt idx="0">
                  <c:v>1.0236784707975198E-2</c:v>
                </c:pt>
                <c:pt idx="1">
                  <c:v>1.7947185083959996E-2</c:v>
                </c:pt>
                <c:pt idx="2">
                  <c:v>4.8026957808172982E-2</c:v>
                </c:pt>
                <c:pt idx="3">
                  <c:v>7.2708948419363012E-2</c:v>
                </c:pt>
                <c:pt idx="4">
                  <c:v>0.10083438431403202</c:v>
                </c:pt>
                <c:pt idx="5">
                  <c:v>0.11643104226689097</c:v>
                </c:pt>
                <c:pt idx="6">
                  <c:v>0.129585337286242</c:v>
                </c:pt>
                <c:pt idx="7">
                  <c:v>0.13901437493045699</c:v>
                </c:pt>
                <c:pt idx="8">
                  <c:v>0.14911016018671802</c:v>
                </c:pt>
                <c:pt idx="9">
                  <c:v>0.17160171786832898</c:v>
                </c:pt>
                <c:pt idx="10">
                  <c:v>0.17460903154870797</c:v>
                </c:pt>
                <c:pt idx="11">
                  <c:v>0.19571205238358796</c:v>
                </c:pt>
                <c:pt idx="12">
                  <c:v>0.19827023637208599</c:v>
                </c:pt>
                <c:pt idx="13">
                  <c:v>0.19587629004316504</c:v>
                </c:pt>
                <c:pt idx="14">
                  <c:v>0.19977607342481199</c:v>
                </c:pt>
                <c:pt idx="15">
                  <c:v>0.212484726828952</c:v>
                </c:pt>
                <c:pt idx="16">
                  <c:v>0.20938910738371802</c:v>
                </c:pt>
                <c:pt idx="17">
                  <c:v>0.22259415400154603</c:v>
                </c:pt>
                <c:pt idx="18">
                  <c:v>0.22520029743362302</c:v>
                </c:pt>
                <c:pt idx="19">
                  <c:v>0.22148670432686599</c:v>
                </c:pt>
                <c:pt idx="20">
                  <c:v>0.226280615494245</c:v>
                </c:pt>
                <c:pt idx="21">
                  <c:v>0.23219549259118699</c:v>
                </c:pt>
                <c:pt idx="22">
                  <c:v>0.22895643378591396</c:v>
                </c:pt>
                <c:pt idx="23">
                  <c:v>0.23269574348478703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20B5-482A-AD18-2692C4A65CBB}"/>
            </c:ext>
          </c:extLst>
        </c:ser>
        <c:ser>
          <c:idx val="8"/>
          <c:order val="7"/>
          <c:tx>
            <c:v>MLE +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16'!$F$37:$F$60</c:f>
              <c:numCache>
                <c:formatCode>0.0000</c:formatCode>
                <c:ptCount val="24"/>
                <c:pt idx="0">
                  <c:v>0.11575444317358299</c:v>
                </c:pt>
                <c:pt idx="1">
                  <c:v>0.23104557369110601</c:v>
                </c:pt>
                <c:pt idx="2">
                  <c:v>0.31915484079629697</c:v>
                </c:pt>
                <c:pt idx="3">
                  <c:v>0.36936681935820104</c:v>
                </c:pt>
                <c:pt idx="4">
                  <c:v>0.40122777021052802</c:v>
                </c:pt>
                <c:pt idx="5">
                  <c:v>0.42274101101240702</c:v>
                </c:pt>
                <c:pt idx="6">
                  <c:v>0.433655527105552</c:v>
                </c:pt>
                <c:pt idx="7">
                  <c:v>0.45604409564523496</c:v>
                </c:pt>
                <c:pt idx="8">
                  <c:v>0.444573623356674</c:v>
                </c:pt>
                <c:pt idx="9">
                  <c:v>0.47322281816031497</c:v>
                </c:pt>
                <c:pt idx="10">
                  <c:v>0.45943487085520796</c:v>
                </c:pt>
                <c:pt idx="11">
                  <c:v>0.48297094404476398</c:v>
                </c:pt>
                <c:pt idx="12">
                  <c:v>0.49628427644700401</c:v>
                </c:pt>
                <c:pt idx="13">
                  <c:v>0.49923515127500101</c:v>
                </c:pt>
                <c:pt idx="14">
                  <c:v>0.48409110709679404</c:v>
                </c:pt>
                <c:pt idx="15">
                  <c:v>0.49975900180183996</c:v>
                </c:pt>
                <c:pt idx="16">
                  <c:v>0.49756992420325602</c:v>
                </c:pt>
                <c:pt idx="17">
                  <c:v>0.50782441795359001</c:v>
                </c:pt>
                <c:pt idx="18">
                  <c:v>0.49609488128278101</c:v>
                </c:pt>
                <c:pt idx="19">
                  <c:v>0.48414149695321995</c:v>
                </c:pt>
                <c:pt idx="20">
                  <c:v>0.48238589876384902</c:v>
                </c:pt>
                <c:pt idx="21">
                  <c:v>0.49449477255925101</c:v>
                </c:pt>
                <c:pt idx="22">
                  <c:v>0.51537484985819004</c:v>
                </c:pt>
                <c:pt idx="23">
                  <c:v>0.52492220695116099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20B5-482A-AD18-2692C4A65CBB}"/>
            </c:ext>
          </c:extLst>
        </c:ser>
        <c:ser>
          <c:idx val="2"/>
          <c:order val="8"/>
          <c:tx>
            <c:v>MLE_EM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16'!$G$37:$G$60</c:f>
              <c:numCache>
                <c:formatCode>0.0000</c:formatCode>
                <c:ptCount val="24"/>
                <c:pt idx="0">
                  <c:v>6.2303650498857603E-2</c:v>
                </c:pt>
                <c:pt idx="1">
                  <c:v>0.118901305426098</c:v>
                </c:pt>
                <c:pt idx="2">
                  <c:v>0.17172422868611001</c:v>
                </c:pt>
                <c:pt idx="3">
                  <c:v>0.20334654913227601</c:v>
                </c:pt>
                <c:pt idx="4">
                  <c:v>0.22948687098298201</c:v>
                </c:pt>
                <c:pt idx="5">
                  <c:v>0.244536619711169</c:v>
                </c:pt>
                <c:pt idx="6">
                  <c:v>0.25503055834569999</c:v>
                </c:pt>
                <c:pt idx="7">
                  <c:v>0.264627217400285</c:v>
                </c:pt>
                <c:pt idx="8">
                  <c:v>0.26897902336302798</c:v>
                </c:pt>
                <c:pt idx="9">
                  <c:v>0.285949458286405</c:v>
                </c:pt>
                <c:pt idx="10">
                  <c:v>0.28673161520326401</c:v>
                </c:pt>
                <c:pt idx="11">
                  <c:v>0.30145631170626302</c:v>
                </c:pt>
                <c:pt idx="12">
                  <c:v>0.30397461996130298</c:v>
                </c:pt>
                <c:pt idx="13">
                  <c:v>0.30238660440283099</c:v>
                </c:pt>
                <c:pt idx="14">
                  <c:v>0.30367834840188701</c:v>
                </c:pt>
                <c:pt idx="15">
                  <c:v>0.31126290032294901</c:v>
                </c:pt>
                <c:pt idx="16">
                  <c:v>0.30964525760853501</c:v>
                </c:pt>
                <c:pt idx="17">
                  <c:v>0.31724758582316298</c:v>
                </c:pt>
                <c:pt idx="18">
                  <c:v>0.31807714618952798</c:v>
                </c:pt>
                <c:pt idx="19">
                  <c:v>0.315061101714669</c:v>
                </c:pt>
                <c:pt idx="20">
                  <c:v>0.31902521517966098</c:v>
                </c:pt>
                <c:pt idx="21">
                  <c:v>0.32359964805705199</c:v>
                </c:pt>
                <c:pt idx="22">
                  <c:v>0.3226101010486</c:v>
                </c:pt>
                <c:pt idx="23">
                  <c:v>0.32388406875409098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20B5-482A-AD18-2692C4A65CBB}"/>
            </c:ext>
          </c:extLst>
        </c:ser>
        <c:ser>
          <c:idx val="9"/>
          <c:order val="9"/>
          <c:tx>
            <c:v>MLE_EM -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16'!$H$37:$H$59</c:f>
              <c:numCache>
                <c:formatCode>0.0000</c:formatCode>
                <c:ptCount val="23"/>
                <c:pt idx="0">
                  <c:v>3.1791513524253703E-2</c:v>
                </c:pt>
                <c:pt idx="1">
                  <c:v>3.89111996368421E-2</c:v>
                </c:pt>
                <c:pt idx="2">
                  <c:v>3.6729582505381997E-2</c:v>
                </c:pt>
                <c:pt idx="3">
                  <c:v>3.3243572037217006E-2</c:v>
                </c:pt>
                <c:pt idx="4">
                  <c:v>2.9250674540193006E-2</c:v>
                </c:pt>
                <c:pt idx="5">
                  <c:v>2.6775360405551007E-2</c:v>
                </c:pt>
                <c:pt idx="6">
                  <c:v>2.4983392199635995E-2</c:v>
                </c:pt>
                <c:pt idx="7">
                  <c:v>2.2756478741255998E-2</c:v>
                </c:pt>
                <c:pt idx="8">
                  <c:v>2.2165840645708978E-2</c:v>
                </c:pt>
                <c:pt idx="9">
                  <c:v>1.7975332852354975E-2</c:v>
                </c:pt>
                <c:pt idx="10">
                  <c:v>1.7995141180119023E-2</c:v>
                </c:pt>
                <c:pt idx="11">
                  <c:v>1.4625032905170032E-2</c:v>
                </c:pt>
                <c:pt idx="12">
                  <c:v>1.3589403627643992E-2</c:v>
                </c:pt>
                <c:pt idx="13">
                  <c:v>1.4236233746080018E-2</c:v>
                </c:pt>
                <c:pt idx="14">
                  <c:v>1.4191184875830987E-2</c:v>
                </c:pt>
                <c:pt idx="15">
                  <c:v>1.2017703151201986E-2</c:v>
                </c:pt>
                <c:pt idx="16">
                  <c:v>1.2539157736416007E-2</c:v>
                </c:pt>
                <c:pt idx="17">
                  <c:v>1.0477493524175985E-2</c:v>
                </c:pt>
                <c:pt idx="18">
                  <c:v>1.0456500978554994E-2</c:v>
                </c:pt>
                <c:pt idx="19">
                  <c:v>1.1135559376462989E-2</c:v>
                </c:pt>
                <c:pt idx="20">
                  <c:v>1.0246834539252958E-2</c:v>
                </c:pt>
                <c:pt idx="21">
                  <c:v>8.8243490364949828E-3</c:v>
                </c:pt>
                <c:pt idx="22">
                  <c:v>9.1624868428449857E-3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20B5-482A-AD18-2692C4A65CBB}"/>
            </c:ext>
          </c:extLst>
        </c:ser>
        <c:ser>
          <c:idx val="0"/>
          <c:order val="1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20B5-482A-AD18-2692C4A65CBB}"/>
            </c:ext>
          </c:extLst>
        </c:ser>
        <c:ser>
          <c:idx val="10"/>
          <c:order val="11"/>
          <c:tx>
            <c:v>MLE_EM +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16'!$A$37:$A$59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16'!$I$37:$I$60</c:f>
              <c:numCache>
                <c:formatCode>0.0000</c:formatCode>
                <c:ptCount val="24"/>
                <c:pt idx="0">
                  <c:v>9.2815787473461503E-2</c:v>
                </c:pt>
                <c:pt idx="1">
                  <c:v>0.19889141121535392</c:v>
                </c:pt>
                <c:pt idx="2">
                  <c:v>0.30671887486683802</c:v>
                </c:pt>
                <c:pt idx="3">
                  <c:v>0.37344952622733502</c:v>
                </c:pt>
                <c:pt idx="4">
                  <c:v>0.42972306742577104</c:v>
                </c:pt>
                <c:pt idx="5">
                  <c:v>0.46229787901678698</c:v>
                </c:pt>
                <c:pt idx="6">
                  <c:v>0.48507772449176401</c:v>
                </c:pt>
                <c:pt idx="7">
                  <c:v>0.50649795605931403</c:v>
                </c:pt>
                <c:pt idx="8">
                  <c:v>0.51579220608034704</c:v>
                </c:pt>
                <c:pt idx="9">
                  <c:v>0.55392358372045503</c:v>
                </c:pt>
                <c:pt idx="10">
                  <c:v>0.555468089226409</c:v>
                </c:pt>
                <c:pt idx="11">
                  <c:v>0.58828759050735602</c:v>
                </c:pt>
                <c:pt idx="12">
                  <c:v>0.59435983629496203</c:v>
                </c:pt>
                <c:pt idx="13">
                  <c:v>0.59053697505958191</c:v>
                </c:pt>
                <c:pt idx="14">
                  <c:v>0.59316551192794309</c:v>
                </c:pt>
                <c:pt idx="15">
                  <c:v>0.61050809749469603</c:v>
                </c:pt>
                <c:pt idx="16">
                  <c:v>0.60675135748065401</c:v>
                </c:pt>
                <c:pt idx="17">
                  <c:v>0.62401767812215003</c:v>
                </c:pt>
                <c:pt idx="18">
                  <c:v>0.62569779140050097</c:v>
                </c:pt>
                <c:pt idx="19">
                  <c:v>0.61898664405287507</c:v>
                </c:pt>
                <c:pt idx="20">
                  <c:v>0.62780359582006895</c:v>
                </c:pt>
                <c:pt idx="21">
                  <c:v>0.638374947077609</c:v>
                </c:pt>
                <c:pt idx="22">
                  <c:v>0.63605771525435495</c:v>
                </c:pt>
                <c:pt idx="23">
                  <c:v>0.63885777991807702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20B5-482A-AD18-2692C4A65CBB}"/>
            </c:ext>
          </c:extLst>
        </c:ser>
        <c:ser>
          <c:idx val="12"/>
          <c:order val="12"/>
          <c:tx>
            <c:v>MLE_EM +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16'!$K$37:$K$60</c:f>
              <c:numCache>
                <c:formatCode>0.0000</c:formatCode>
                <c:ptCount val="24"/>
                <c:pt idx="0">
                  <c:v>0.1091910980351818</c:v>
                </c:pt>
                <c:pt idx="1">
                  <c:v>0.20251507964573412</c:v>
                </c:pt>
                <c:pt idx="2">
                  <c:v>0.27592502636407001</c:v>
                </c:pt>
                <c:pt idx="3">
                  <c:v>0.31242552071697099</c:v>
                </c:pt>
                <c:pt idx="4">
                  <c:v>0.338880548496587</c:v>
                </c:pt>
                <c:pt idx="5">
                  <c:v>0.35179351880755699</c:v>
                </c:pt>
                <c:pt idx="6">
                  <c:v>0.35970468150272</c:v>
                </c:pt>
                <c:pt idx="7">
                  <c:v>0.36793675354294997</c:v>
                </c:pt>
                <c:pt idx="8">
                  <c:v>0.36991382195464295</c:v>
                </c:pt>
                <c:pt idx="9">
                  <c:v>0.38213966053668569</c:v>
                </c:pt>
                <c:pt idx="10">
                  <c:v>0.38185935849074459</c:v>
                </c:pt>
                <c:pt idx="11">
                  <c:v>0.38845628233980545</c:v>
                </c:pt>
                <c:pt idx="12">
                  <c:v>0.39115631614230256</c:v>
                </c:pt>
                <c:pt idx="13">
                  <c:v>0.38948137709864672</c:v>
                </c:pt>
                <c:pt idx="14">
                  <c:v>0.3888468310835459</c:v>
                </c:pt>
                <c:pt idx="15">
                  <c:v>0.39250552924677079</c:v>
                </c:pt>
                <c:pt idx="16">
                  <c:v>0.39153976873448948</c:v>
                </c:pt>
                <c:pt idx="17">
                  <c:v>0.39389796504312119</c:v>
                </c:pt>
                <c:pt idx="18">
                  <c:v>0.39311471803554959</c:v>
                </c:pt>
                <c:pt idx="19">
                  <c:v>0.3930035631311431</c:v>
                </c:pt>
                <c:pt idx="20">
                  <c:v>0.39306003623687358</c:v>
                </c:pt>
                <c:pt idx="21">
                  <c:v>0.39458546616677681</c:v>
                </c:pt>
                <c:pt idx="22">
                  <c:v>0.39416144008390641</c:v>
                </c:pt>
                <c:pt idx="23">
                  <c:v>0.39378747659952179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20B5-482A-AD18-2692C4A65CBB}"/>
            </c:ext>
          </c:extLst>
        </c:ser>
        <c:ser>
          <c:idx val="13"/>
          <c:order val="13"/>
          <c:tx>
            <c:v>MOM -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16'!$M$37:$M$60</c:f>
              <c:numCache>
                <c:formatCode>0.0000</c:formatCode>
                <c:ptCount val="24"/>
                <c:pt idx="0">
                  <c:v>3.4338939607010302E-2</c:v>
                </c:pt>
                <c:pt idx="1">
                  <c:v>4.1702930823382195E-2</c:v>
                </c:pt>
                <c:pt idx="2">
                  <c:v>4.1677268319972996E-2</c:v>
                </c:pt>
                <c:pt idx="3">
                  <c:v>3.9954727157758996E-2</c:v>
                </c:pt>
                <c:pt idx="4">
                  <c:v>3.7648583216496001E-2</c:v>
                </c:pt>
                <c:pt idx="5">
                  <c:v>3.6083094876069005E-2</c:v>
                </c:pt>
                <c:pt idx="6">
                  <c:v>3.5020581619403995E-2</c:v>
                </c:pt>
                <c:pt idx="7">
                  <c:v>3.3594007770213014E-2</c:v>
                </c:pt>
                <c:pt idx="8">
                  <c:v>3.3247110375054983E-2</c:v>
                </c:pt>
                <c:pt idx="9">
                  <c:v>3.0498734310691E-2</c:v>
                </c:pt>
                <c:pt idx="10">
                  <c:v>3.0550443003741989E-2</c:v>
                </c:pt>
                <c:pt idx="11">
                  <c:v>2.8351113356407054E-2</c:v>
                </c:pt>
                <c:pt idx="12">
                  <c:v>2.7637111346037968E-2</c:v>
                </c:pt>
                <c:pt idx="13">
                  <c:v>2.8079563895712034E-2</c:v>
                </c:pt>
                <c:pt idx="14">
                  <c:v>2.8082906663194018E-2</c:v>
                </c:pt>
                <c:pt idx="15">
                  <c:v>2.6630985641236005E-2</c:v>
                </c:pt>
                <c:pt idx="16">
                  <c:v>2.6988601331051965E-2</c:v>
                </c:pt>
                <c:pt idx="17">
                  <c:v>2.5607448652886999E-2</c:v>
                </c:pt>
                <c:pt idx="18">
                  <c:v>2.5613615795790023E-2</c:v>
                </c:pt>
                <c:pt idx="19">
                  <c:v>2.6056061579931011E-2</c:v>
                </c:pt>
                <c:pt idx="20">
                  <c:v>2.5469321624883023E-2</c:v>
                </c:pt>
                <c:pt idx="21">
                  <c:v>2.4508066323003008E-2</c:v>
                </c:pt>
                <c:pt idx="22">
                  <c:v>2.4748800365779033E-2</c:v>
                </c:pt>
                <c:pt idx="23">
                  <c:v>2.4582682295276992E-2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20B5-482A-AD18-2692C4A65CBB}"/>
            </c:ext>
          </c:extLst>
        </c:ser>
        <c:ser>
          <c:idx val="14"/>
          <c:order val="14"/>
          <c:tx>
            <c:v>MOM +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16'!$N$37:$N$60</c:f>
              <c:numCache>
                <c:formatCode>0.0000</c:formatCode>
                <c:ptCount val="24"/>
                <c:pt idx="0">
                  <c:v>0.10002171641658671</c:v>
                </c:pt>
                <c:pt idx="1">
                  <c:v>0.19481487217071181</c:v>
                </c:pt>
                <c:pt idx="2">
                  <c:v>0.28880192998329501</c:v>
                </c:pt>
                <c:pt idx="3">
                  <c:v>0.34731523518259499</c:v>
                </c:pt>
                <c:pt idx="4">
                  <c:v>0.39639511335265198</c:v>
                </c:pt>
                <c:pt idx="5">
                  <c:v>0.42403799334275905</c:v>
                </c:pt>
                <c:pt idx="6">
                  <c:v>0.44405835640189195</c:v>
                </c:pt>
                <c:pt idx="7">
                  <c:v>0.46311821412848697</c:v>
                </c:pt>
                <c:pt idx="8">
                  <c:v>0.47091579485212498</c:v>
                </c:pt>
                <c:pt idx="9">
                  <c:v>0.50437754330389106</c:v>
                </c:pt>
                <c:pt idx="10">
                  <c:v>0.50581597127653599</c:v>
                </c:pt>
                <c:pt idx="11">
                  <c:v>0.534506619425135</c:v>
                </c:pt>
                <c:pt idx="12">
                  <c:v>0.54027052902480599</c:v>
                </c:pt>
                <c:pt idx="13">
                  <c:v>0.53659944703279194</c:v>
                </c:pt>
                <c:pt idx="14">
                  <c:v>0.538748523893536</c:v>
                </c:pt>
                <c:pt idx="15">
                  <c:v>0.55435674323960604</c:v>
                </c:pt>
                <c:pt idx="16">
                  <c:v>0.55093606884808199</c:v>
                </c:pt>
                <c:pt idx="17">
                  <c:v>0.56622516373940901</c:v>
                </c:pt>
                <c:pt idx="18">
                  <c:v>0.56754356252157001</c:v>
                </c:pt>
                <c:pt idx="19">
                  <c:v>0.56163728229654297</c:v>
                </c:pt>
                <c:pt idx="20">
                  <c:v>0.56926077872848901</c:v>
                </c:pt>
                <c:pt idx="21">
                  <c:v>0.57883171254328092</c:v>
                </c:pt>
                <c:pt idx="22">
                  <c:v>0.57685248572385905</c:v>
                </c:pt>
                <c:pt idx="23">
                  <c:v>0.57917102342258908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20B5-482A-AD18-2692C4A65CBB}"/>
            </c:ext>
          </c:extLst>
        </c:ser>
        <c:ser>
          <c:idx val="15"/>
          <c:order val="15"/>
          <c:tx>
            <c:v>MOM -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16'!$O$37:$O$60</c:f>
              <c:numCache>
                <c:formatCode>0.0000</c:formatCode>
                <c:ptCount val="24"/>
                <c:pt idx="0">
                  <c:v>2.3688945372581406E-2</c:v>
                </c:pt>
                <c:pt idx="1">
                  <c:v>4.3112686382502402E-2</c:v>
                </c:pt>
                <c:pt idx="2">
                  <c:v>7.1844023887522493E-2</c:v>
                </c:pt>
                <c:pt idx="3">
                  <c:v>9.5787857275186697E-2</c:v>
                </c:pt>
                <c:pt idx="4">
                  <c:v>0.11870578955208529</c:v>
                </c:pt>
                <c:pt idx="5">
                  <c:v>0.13293190373226332</c:v>
                </c:pt>
                <c:pt idx="6">
                  <c:v>0.14467086706938947</c:v>
                </c:pt>
                <c:pt idx="7">
                  <c:v>0.15479482358362112</c:v>
                </c:pt>
                <c:pt idx="8">
                  <c:v>0.16035381645805141</c:v>
                </c:pt>
                <c:pt idx="9">
                  <c:v>0.17977781327477782</c:v>
                </c:pt>
                <c:pt idx="10">
                  <c:v>0.181555338729643</c:v>
                </c:pt>
                <c:pt idx="11">
                  <c:v>0.20171911426188383</c:v>
                </c:pt>
                <c:pt idx="12">
                  <c:v>0.20448324854007738</c:v>
                </c:pt>
                <c:pt idx="13">
                  <c:v>0.20264739876262211</c:v>
                </c:pt>
                <c:pt idx="14">
                  <c:v>0.20528156273894121</c:v>
                </c:pt>
                <c:pt idx="15">
                  <c:v>0.21616084285186504</c:v>
                </c:pt>
                <c:pt idx="16">
                  <c:v>0.21395217751937856</c:v>
                </c:pt>
                <c:pt idx="17">
                  <c:v>0.22560129707931301</c:v>
                </c:pt>
                <c:pt idx="18">
                  <c:v>0.2275066170529601</c:v>
                </c:pt>
                <c:pt idx="19">
                  <c:v>0.22224580674086208</c:v>
                </c:pt>
                <c:pt idx="20">
                  <c:v>0.22898722992936912</c:v>
                </c:pt>
                <c:pt idx="21">
                  <c:v>0.23630679545834737</c:v>
                </c:pt>
                <c:pt idx="22">
                  <c:v>0.23503659885597591</c:v>
                </c:pt>
                <c:pt idx="23">
                  <c:v>0.2373576112290437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20B5-482A-AD18-2692C4A65CBB}"/>
            </c:ext>
          </c:extLst>
        </c:ser>
        <c:ser>
          <c:idx val="16"/>
          <c:order val="16"/>
          <c:tx>
            <c:v>MOM +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16'!$P$37:$P$60</c:f>
              <c:numCache>
                <c:formatCode>0.0000</c:formatCode>
                <c:ptCount val="24"/>
                <c:pt idx="0">
                  <c:v>0.11067171065101561</c:v>
                </c:pt>
                <c:pt idx="1">
                  <c:v>0.1934051166115916</c:v>
                </c:pt>
                <c:pt idx="2">
                  <c:v>0.25863517441574552</c:v>
                </c:pt>
                <c:pt idx="3">
                  <c:v>0.29148210506516731</c:v>
                </c:pt>
                <c:pt idx="4">
                  <c:v>0.31533790701706271</c:v>
                </c:pt>
                <c:pt idx="5">
                  <c:v>0.3271891844865647</c:v>
                </c:pt>
                <c:pt idx="6">
                  <c:v>0.3344080709519065</c:v>
                </c:pt>
                <c:pt idx="7">
                  <c:v>0.34191739831507889</c:v>
                </c:pt>
                <c:pt idx="8">
                  <c:v>0.34380908876912858</c:v>
                </c:pt>
                <c:pt idx="9">
                  <c:v>0.35509846433980419</c:v>
                </c:pt>
                <c:pt idx="10">
                  <c:v>0.35481107555063496</c:v>
                </c:pt>
                <c:pt idx="11">
                  <c:v>0.36113861851965823</c:v>
                </c:pt>
                <c:pt idx="12">
                  <c:v>0.36342439183076658</c:v>
                </c:pt>
                <c:pt idx="13">
                  <c:v>0.36203161216588192</c:v>
                </c:pt>
                <c:pt idx="14">
                  <c:v>0.36154986781778881</c:v>
                </c:pt>
                <c:pt idx="15">
                  <c:v>0.364826886028977</c:v>
                </c:pt>
                <c:pt idx="16">
                  <c:v>0.3639724926597554</c:v>
                </c:pt>
                <c:pt idx="17">
                  <c:v>0.36623131531298303</c:v>
                </c:pt>
                <c:pt idx="18">
                  <c:v>0.36565056126439993</c:v>
                </c:pt>
                <c:pt idx="19">
                  <c:v>0.3654475371356119</c:v>
                </c:pt>
                <c:pt idx="20">
                  <c:v>0.36574287042400289</c:v>
                </c:pt>
                <c:pt idx="21">
                  <c:v>0.36703298340793661</c:v>
                </c:pt>
                <c:pt idx="22">
                  <c:v>0.36656468723366209</c:v>
                </c:pt>
                <c:pt idx="23">
                  <c:v>0.36639609448882232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20B5-482A-AD18-2692C4A65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37984"/>
        <c:axId val="202139904"/>
      </c:scatterChart>
      <c:valAx>
        <c:axId val="20213798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-25000"/>
                  <a:t>10</a:t>
                </a:r>
                <a:r>
                  <a:rPr lang="en-US"/>
                  <a:t> R_0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39904"/>
        <c:crosses val="autoZero"/>
        <c:crossBetween val="midCat"/>
        <c:minorUnit val="0.1"/>
      </c:valAx>
      <c:valAx>
        <c:axId val="20213990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</a:t>
                </a:r>
                <a:r>
                  <a:rPr lang="en-US" baseline="0"/>
                  <a:t> log</a:t>
                </a:r>
                <a:r>
                  <a:rPr lang="en-US" baseline="-25000"/>
                  <a:t>10</a:t>
                </a:r>
                <a:r>
                  <a:rPr lang="en-US" baseline="0"/>
                  <a:t> R_0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3798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MOM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32'!$L$37:$L$59</c:f>
              <c:numCache>
                <c:formatCode>0.0000</c:formatCode>
                <c:ptCount val="23"/>
                <c:pt idx="0">
                  <c:v>5.7080512833191599E-2</c:v>
                </c:pt>
                <c:pt idx="1">
                  <c:v>0.116934335571984</c:v>
                </c:pt>
                <c:pt idx="2">
                  <c:v>0.17504966553413301</c:v>
                </c:pt>
                <c:pt idx="3">
                  <c:v>0.23585552003156601</c:v>
                </c:pt>
                <c:pt idx="4">
                  <c:v>0.289955759533366</c:v>
                </c:pt>
                <c:pt idx="5">
                  <c:v>0.338012667002066</c:v>
                </c:pt>
                <c:pt idx="6">
                  <c:v>0.35792254856317202</c:v>
                </c:pt>
                <c:pt idx="7">
                  <c:v>0.40320614612627098</c:v>
                </c:pt>
                <c:pt idx="8">
                  <c:v>0.42800036453604701</c:v>
                </c:pt>
                <c:pt idx="9">
                  <c:v>0.44513693619155298</c:v>
                </c:pt>
                <c:pt idx="10">
                  <c:v>0.46682670321446201</c:v>
                </c:pt>
                <c:pt idx="11">
                  <c:v>0.49071028255075699</c:v>
                </c:pt>
                <c:pt idx="12">
                  <c:v>0.49311105828993401</c:v>
                </c:pt>
                <c:pt idx="13">
                  <c:v>0.516083998552748</c:v>
                </c:pt>
                <c:pt idx="14">
                  <c:v>0.52519038928755701</c:v>
                </c:pt>
                <c:pt idx="15">
                  <c:v>0.527963699193157</c:v>
                </c:pt>
                <c:pt idx="16">
                  <c:v>0.53880858270461196</c:v>
                </c:pt>
                <c:pt idx="17">
                  <c:v>0.54969485890122405</c:v>
                </c:pt>
                <c:pt idx="18">
                  <c:v>0.56745232083410102</c:v>
                </c:pt>
                <c:pt idx="19">
                  <c:v>0.56202987907837498</c:v>
                </c:pt>
                <c:pt idx="20">
                  <c:v>0.57370261629299402</c:v>
                </c:pt>
                <c:pt idx="21">
                  <c:v>0.58140165573242197</c:v>
                </c:pt>
                <c:pt idx="22">
                  <c:v>0.58152583378789702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8AF-44DE-951F-36B1EDC14B15}"/>
            </c:ext>
          </c:extLst>
        </c:ser>
        <c:ser>
          <c:idx val="11"/>
          <c:order val="1"/>
          <c:tx>
            <c:v>MLE_EM -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32'!$A$37:$A$59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32'!$J$37:$J$60</c:f>
              <c:numCache>
                <c:formatCode>0.0000</c:formatCode>
                <c:ptCount val="24"/>
                <c:pt idx="0">
                  <c:v>3.0707029282669204E-2</c:v>
                </c:pt>
                <c:pt idx="1">
                  <c:v>4.61042780354355E-2</c:v>
                </c:pt>
                <c:pt idx="2">
                  <c:v>5.6738972676849991E-2</c:v>
                </c:pt>
                <c:pt idx="3">
                  <c:v>6.8548360054775992E-2</c:v>
                </c:pt>
                <c:pt idx="4">
                  <c:v>0.10204100458441298</c:v>
                </c:pt>
                <c:pt idx="5">
                  <c:v>0.129430725035065</c:v>
                </c:pt>
                <c:pt idx="6">
                  <c:v>0.14868800028105697</c:v>
                </c:pt>
                <c:pt idx="7">
                  <c:v>0.18640287609955403</c:v>
                </c:pt>
                <c:pt idx="8">
                  <c:v>0.20645904898883699</c:v>
                </c:pt>
                <c:pt idx="9">
                  <c:v>0.22883581176689602</c:v>
                </c:pt>
                <c:pt idx="10">
                  <c:v>0.25414761510202499</c:v>
                </c:pt>
                <c:pt idx="11">
                  <c:v>0.28113150385311103</c:v>
                </c:pt>
                <c:pt idx="12">
                  <c:v>0.28658791974146003</c:v>
                </c:pt>
                <c:pt idx="13">
                  <c:v>0.31527039322726202</c:v>
                </c:pt>
                <c:pt idx="14">
                  <c:v>0.32530263002793802</c:v>
                </c:pt>
                <c:pt idx="15">
                  <c:v>0.32939119705290598</c:v>
                </c:pt>
                <c:pt idx="16">
                  <c:v>0.34718774527939505</c:v>
                </c:pt>
                <c:pt idx="17">
                  <c:v>0.36168387121043699</c:v>
                </c:pt>
                <c:pt idx="18">
                  <c:v>0.38624819654075404</c:v>
                </c:pt>
                <c:pt idx="19">
                  <c:v>0.37945794669600197</c:v>
                </c:pt>
                <c:pt idx="20">
                  <c:v>0.39999327895037495</c:v>
                </c:pt>
                <c:pt idx="21">
                  <c:v>0.41113378163173403</c:v>
                </c:pt>
                <c:pt idx="22">
                  <c:v>0.41278108231560495</c:v>
                </c:pt>
                <c:pt idx="23">
                  <c:v>0.42548010721346696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8AF-44DE-951F-36B1EDC14B15}"/>
            </c:ext>
          </c:extLst>
        </c:ser>
        <c:ser>
          <c:idx val="5"/>
          <c:order val="2"/>
          <c:tx>
            <c:v>Identity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8AF-44DE-951F-36B1EDC14B15}"/>
            </c:ext>
          </c:extLst>
        </c:ser>
        <c:ser>
          <c:idx val="1"/>
          <c:order val="3"/>
          <c:tx>
            <c:v>MLE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32'!$B$37:$B$60</c:f>
              <c:numCache>
                <c:formatCode>0.0000</c:formatCode>
                <c:ptCount val="24"/>
                <c:pt idx="0">
                  <c:v>5.2616495008796803E-2</c:v>
                </c:pt>
                <c:pt idx="1">
                  <c:v>0.109512940772737</c:v>
                </c:pt>
                <c:pt idx="2">
                  <c:v>0.17427036888216399</c:v>
                </c:pt>
                <c:pt idx="3">
                  <c:v>0.24948675149836799</c:v>
                </c:pt>
                <c:pt idx="4">
                  <c:v>0.31506807179090202</c:v>
                </c:pt>
                <c:pt idx="5">
                  <c:v>0.37786504014108102</c:v>
                </c:pt>
                <c:pt idx="6">
                  <c:v>0.396024660608082</c:v>
                </c:pt>
                <c:pt idx="7">
                  <c:v>0.45715481168102701</c:v>
                </c:pt>
                <c:pt idx="8">
                  <c:v>0.488635192294538</c:v>
                </c:pt>
                <c:pt idx="9">
                  <c:v>0.50928648183510905</c:v>
                </c:pt>
                <c:pt idx="10">
                  <c:v>0.54377738155377997</c:v>
                </c:pt>
                <c:pt idx="11">
                  <c:v>0.57396860505094005</c:v>
                </c:pt>
                <c:pt idx="12">
                  <c:v>0.57355964956744698</c:v>
                </c:pt>
                <c:pt idx="13">
                  <c:v>0.58655972190098504</c:v>
                </c:pt>
                <c:pt idx="14">
                  <c:v>0.60317249625845104</c:v>
                </c:pt>
                <c:pt idx="15">
                  <c:v>0.61381277435194403</c:v>
                </c:pt>
                <c:pt idx="16">
                  <c:v>0.618447876738761</c:v>
                </c:pt>
                <c:pt idx="17">
                  <c:v>0.62620991993086605</c:v>
                </c:pt>
                <c:pt idx="18">
                  <c:v>0.65678595536488305</c:v>
                </c:pt>
                <c:pt idx="19">
                  <c:v>0.64352838909289101</c:v>
                </c:pt>
                <c:pt idx="20">
                  <c:v>0.67108928347347097</c:v>
                </c:pt>
                <c:pt idx="21">
                  <c:v>0.69955378303384097</c:v>
                </c:pt>
                <c:pt idx="22">
                  <c:v>0.69834496541042301</c:v>
                </c:pt>
                <c:pt idx="23">
                  <c:v>0.69963355801150795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8AF-44DE-951F-36B1EDC14B15}"/>
            </c:ext>
          </c:extLst>
        </c:ser>
        <c:ser>
          <c:idx val="4"/>
          <c:order val="4"/>
          <c:tx>
            <c:v>MLE -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32'!$C$37:$C$60</c:f>
              <c:numCache>
                <c:formatCode>0.0000</c:formatCode>
                <c:ptCount val="24"/>
                <c:pt idx="0">
                  <c:v>5.256008679545203E-2</c:v>
                </c:pt>
                <c:pt idx="1">
                  <c:v>8.2789609793663607E-2</c:v>
                </c:pt>
                <c:pt idx="2">
                  <c:v>-2.7332712330880859</c:v>
                </c:pt>
                <c:pt idx="3">
                  <c:v>-16.710060459370833</c:v>
                </c:pt>
                <c:pt idx="4">
                  <c:v>-27.6185166890399</c:v>
                </c:pt>
                <c:pt idx="5">
                  <c:v>-47.28315656393162</c:v>
                </c:pt>
                <c:pt idx="6">
                  <c:v>-45.459092427168713</c:v>
                </c:pt>
                <c:pt idx="7">
                  <c:v>-63.081355119110668</c:v>
                </c:pt>
                <c:pt idx="8">
                  <c:v>-82.612406423586563</c:v>
                </c:pt>
                <c:pt idx="9">
                  <c:v>-82.875628655740101</c:v>
                </c:pt>
                <c:pt idx="10">
                  <c:v>-107.93611161794122</c:v>
                </c:pt>
                <c:pt idx="11">
                  <c:v>-112.19821238079406</c:v>
                </c:pt>
                <c:pt idx="12">
                  <c:v>-117.36851537699356</c:v>
                </c:pt>
                <c:pt idx="13">
                  <c:v>-106.90485301406102</c:v>
                </c:pt>
                <c:pt idx="14">
                  <c:v>-116.57698429105754</c:v>
                </c:pt>
                <c:pt idx="15">
                  <c:v>-131.65363380240404</c:v>
                </c:pt>
                <c:pt idx="16">
                  <c:v>-111.04145219078124</c:v>
                </c:pt>
                <c:pt idx="17">
                  <c:v>-110.36219118280212</c:v>
                </c:pt>
                <c:pt idx="18">
                  <c:v>-131.75107513570313</c:v>
                </c:pt>
                <c:pt idx="19">
                  <c:v>-149.26425764880511</c:v>
                </c:pt>
                <c:pt idx="20">
                  <c:v>-164.84974288838353</c:v>
                </c:pt>
                <c:pt idx="21">
                  <c:v>-191.56183388379614</c:v>
                </c:pt>
                <c:pt idx="22">
                  <c:v>-148.05739077443556</c:v>
                </c:pt>
                <c:pt idx="23">
                  <c:v>-150.12130938328951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8AF-44DE-951F-36B1EDC14B15}"/>
            </c:ext>
          </c:extLst>
        </c:ser>
        <c:ser>
          <c:idx val="6"/>
          <c:order val="5"/>
          <c:tx>
            <c:v>MLE +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32'!$D$37:$D$60</c:f>
              <c:numCache>
                <c:formatCode>0.0000</c:formatCode>
                <c:ptCount val="24"/>
                <c:pt idx="0">
                  <c:v>5.2672903222141576E-2</c:v>
                </c:pt>
                <c:pt idx="1">
                  <c:v>0.13623627175181041</c:v>
                </c:pt>
                <c:pt idx="2">
                  <c:v>3.0818119708524137</c:v>
                </c:pt>
                <c:pt idx="3">
                  <c:v>17.209033962367567</c:v>
                </c:pt>
                <c:pt idx="4">
                  <c:v>28.248652832621701</c:v>
                </c:pt>
                <c:pt idx="5">
                  <c:v>48.038886644213783</c:v>
                </c:pt>
                <c:pt idx="6">
                  <c:v>46.251141748384882</c:v>
                </c:pt>
                <c:pt idx="7">
                  <c:v>63.995664742472727</c:v>
                </c:pt>
                <c:pt idx="8">
                  <c:v>83.589676808175639</c:v>
                </c:pt>
                <c:pt idx="9">
                  <c:v>83.89420161941031</c:v>
                </c:pt>
                <c:pt idx="10">
                  <c:v>109.02366638104878</c:v>
                </c:pt>
                <c:pt idx="11">
                  <c:v>113.34614959089593</c:v>
                </c:pt>
                <c:pt idx="12">
                  <c:v>118.51563467612844</c:v>
                </c:pt>
                <c:pt idx="13">
                  <c:v>108.07797245786298</c:v>
                </c:pt>
                <c:pt idx="14">
                  <c:v>117.78332928357445</c:v>
                </c:pt>
                <c:pt idx="15">
                  <c:v>132.88125935110793</c:v>
                </c:pt>
                <c:pt idx="16">
                  <c:v>112.27834794425875</c:v>
                </c:pt>
                <c:pt idx="17">
                  <c:v>111.61461102266387</c:v>
                </c:pt>
                <c:pt idx="18">
                  <c:v>133.0646470464329</c:v>
                </c:pt>
                <c:pt idx="19">
                  <c:v>150.5513144269909</c:v>
                </c:pt>
                <c:pt idx="20">
                  <c:v>166.19192145533046</c:v>
                </c:pt>
                <c:pt idx="21">
                  <c:v>192.96094144986384</c:v>
                </c:pt>
                <c:pt idx="22">
                  <c:v>149.45408070525642</c:v>
                </c:pt>
                <c:pt idx="23">
                  <c:v>151.52057649931251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B8AF-44DE-951F-36B1EDC14B15}"/>
            </c:ext>
          </c:extLst>
        </c:ser>
        <c:ser>
          <c:idx val="7"/>
          <c:order val="6"/>
          <c:tx>
            <c:v>MLE -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32'!$E$37:$E$60</c:f>
              <c:numCache>
                <c:formatCode>0.0000</c:formatCode>
                <c:ptCount val="24"/>
                <c:pt idx="0">
                  <c:v>2.9908449131619101E-2</c:v>
                </c:pt>
                <c:pt idx="1">
                  <c:v>4.4130458353616508E-2</c:v>
                </c:pt>
                <c:pt idx="2">
                  <c:v>3.8234403353933993E-2</c:v>
                </c:pt>
                <c:pt idx="3">
                  <c:v>4.1242930921240983E-2</c:v>
                </c:pt>
                <c:pt idx="4">
                  <c:v>7.649944921115201E-2</c:v>
                </c:pt>
                <c:pt idx="5">
                  <c:v>0.10454702059395404</c:v>
                </c:pt>
                <c:pt idx="6">
                  <c:v>0.127023212643121</c:v>
                </c:pt>
                <c:pt idx="7">
                  <c:v>0.17006477320778202</c:v>
                </c:pt>
                <c:pt idx="8">
                  <c:v>0.18556716445602101</c:v>
                </c:pt>
                <c:pt idx="9">
                  <c:v>0.21263636232111105</c:v>
                </c:pt>
                <c:pt idx="10">
                  <c:v>0.23723753429389199</c:v>
                </c:pt>
                <c:pt idx="11">
                  <c:v>0.27241195414979907</c:v>
                </c:pt>
                <c:pt idx="12">
                  <c:v>0.27085228539427098</c:v>
                </c:pt>
                <c:pt idx="13">
                  <c:v>0.29967116934689503</c:v>
                </c:pt>
                <c:pt idx="14">
                  <c:v>0.31252304602747505</c:v>
                </c:pt>
                <c:pt idx="15">
                  <c:v>0.31438435077889804</c:v>
                </c:pt>
                <c:pt idx="16">
                  <c:v>0.338974707595812</c:v>
                </c:pt>
                <c:pt idx="17">
                  <c:v>0.35129930371658508</c:v>
                </c:pt>
                <c:pt idx="18">
                  <c:v>0.37835640779652807</c:v>
                </c:pt>
                <c:pt idx="19">
                  <c:v>0.349765425082397</c:v>
                </c:pt>
                <c:pt idx="20">
                  <c:v>0.37728606183252994</c:v>
                </c:pt>
                <c:pt idx="21">
                  <c:v>0.40005194472976396</c:v>
                </c:pt>
                <c:pt idx="22">
                  <c:v>0.42651809161425702</c:v>
                </c:pt>
                <c:pt idx="23">
                  <c:v>0.43173482814248093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B8AF-44DE-951F-36B1EDC14B15}"/>
            </c:ext>
          </c:extLst>
        </c:ser>
        <c:ser>
          <c:idx val="8"/>
          <c:order val="7"/>
          <c:tx>
            <c:v>MLE +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32'!$F$37:$F$60</c:f>
              <c:numCache>
                <c:formatCode>0.0000</c:formatCode>
                <c:ptCount val="24"/>
                <c:pt idx="0">
                  <c:v>7.5324540885974511E-2</c:v>
                </c:pt>
                <c:pt idx="1">
                  <c:v>0.1748954231918575</c:v>
                </c:pt>
                <c:pt idx="2">
                  <c:v>0.31030633441039401</c:v>
                </c:pt>
                <c:pt idx="3">
                  <c:v>0.457730572075495</c:v>
                </c:pt>
                <c:pt idx="4">
                  <c:v>0.55363669437065199</c:v>
                </c:pt>
                <c:pt idx="5">
                  <c:v>0.651183059688208</c:v>
                </c:pt>
                <c:pt idx="6">
                  <c:v>0.66502610857304301</c:v>
                </c:pt>
                <c:pt idx="7">
                  <c:v>0.744244850154272</c:v>
                </c:pt>
                <c:pt idx="8">
                  <c:v>0.79170322013305494</c:v>
                </c:pt>
                <c:pt idx="9">
                  <c:v>0.80593660134910705</c:v>
                </c:pt>
                <c:pt idx="10">
                  <c:v>0.850317228813668</c:v>
                </c:pt>
                <c:pt idx="11">
                  <c:v>0.87552525595208097</c:v>
                </c:pt>
                <c:pt idx="12">
                  <c:v>0.87626701374062299</c:v>
                </c:pt>
                <c:pt idx="13">
                  <c:v>0.87344827445507511</c:v>
                </c:pt>
                <c:pt idx="14">
                  <c:v>0.89382194648942703</c:v>
                </c:pt>
                <c:pt idx="15">
                  <c:v>0.91324119792499003</c:v>
                </c:pt>
                <c:pt idx="16">
                  <c:v>0.89792104588170996</c:v>
                </c:pt>
                <c:pt idx="17">
                  <c:v>0.90112053614514709</c:v>
                </c:pt>
                <c:pt idx="18">
                  <c:v>0.93521550293323807</c:v>
                </c:pt>
                <c:pt idx="19">
                  <c:v>0.93729135310338507</c:v>
                </c:pt>
                <c:pt idx="20">
                  <c:v>0.96489250511441194</c:v>
                </c:pt>
                <c:pt idx="21">
                  <c:v>0.99905562133791803</c:v>
                </c:pt>
                <c:pt idx="22">
                  <c:v>0.970171839206589</c:v>
                </c:pt>
                <c:pt idx="23">
                  <c:v>0.96753228788053502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B8AF-44DE-951F-36B1EDC14B15}"/>
            </c:ext>
          </c:extLst>
        </c:ser>
        <c:ser>
          <c:idx val="2"/>
          <c:order val="8"/>
          <c:tx>
            <c:v>MLE_EM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32'!$G$37:$G$60</c:f>
              <c:numCache>
                <c:formatCode>0.0000</c:formatCode>
                <c:ptCount val="24"/>
                <c:pt idx="0">
                  <c:v>5.2547080285425603E-2</c:v>
                </c:pt>
                <c:pt idx="1">
                  <c:v>0.109097414219279</c:v>
                </c:pt>
                <c:pt idx="2">
                  <c:v>0.16672029224169799</c:v>
                </c:pt>
                <c:pt idx="3">
                  <c:v>0.229196898370881</c:v>
                </c:pt>
                <c:pt idx="4">
                  <c:v>0.28600140226445597</c:v>
                </c:pt>
                <c:pt idx="5">
                  <c:v>0.33811393604368001</c:v>
                </c:pt>
                <c:pt idx="6">
                  <c:v>0.35991938101154097</c:v>
                </c:pt>
                <c:pt idx="7">
                  <c:v>0.40912365515231902</c:v>
                </c:pt>
                <c:pt idx="8">
                  <c:v>0.436097737262925</c:v>
                </c:pt>
                <c:pt idx="9">
                  <c:v>0.45500456258287802</c:v>
                </c:pt>
                <c:pt idx="10">
                  <c:v>0.47854277582222499</c:v>
                </c:pt>
                <c:pt idx="11">
                  <c:v>0.50492556067388905</c:v>
                </c:pt>
                <c:pt idx="12">
                  <c:v>0.50752162881821605</c:v>
                </c:pt>
                <c:pt idx="13">
                  <c:v>0.532659252676013</c:v>
                </c:pt>
                <c:pt idx="14">
                  <c:v>0.54279325934938605</c:v>
                </c:pt>
                <c:pt idx="15">
                  <c:v>0.54563078121793096</c:v>
                </c:pt>
                <c:pt idx="16">
                  <c:v>0.55780216384163805</c:v>
                </c:pt>
                <c:pt idx="17">
                  <c:v>0.56976205415216397</c:v>
                </c:pt>
                <c:pt idx="18">
                  <c:v>0.58925459568390703</c:v>
                </c:pt>
                <c:pt idx="19">
                  <c:v>0.58317242924393897</c:v>
                </c:pt>
                <c:pt idx="20">
                  <c:v>0.59601529996200497</c:v>
                </c:pt>
                <c:pt idx="21">
                  <c:v>0.60458955082565102</c:v>
                </c:pt>
                <c:pt idx="22">
                  <c:v>0.60450319146443399</c:v>
                </c:pt>
                <c:pt idx="23">
                  <c:v>0.61397804709505299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B8AF-44DE-951F-36B1EDC14B15}"/>
            </c:ext>
          </c:extLst>
        </c:ser>
        <c:ser>
          <c:idx val="9"/>
          <c:order val="9"/>
          <c:tx>
            <c:v>MLE_EM -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32'!$H$37:$H$59</c:f>
              <c:numCache>
                <c:formatCode>0.0000</c:formatCode>
                <c:ptCount val="23"/>
                <c:pt idx="0">
                  <c:v>3.7740698233507501E-2</c:v>
                </c:pt>
                <c:pt idx="1">
                  <c:v>6.2795041406686208E-2</c:v>
                </c:pt>
                <c:pt idx="2">
                  <c:v>7.6652142009188282E-2</c:v>
                </c:pt>
                <c:pt idx="3">
                  <c:v>8.1299351646845014E-2</c:v>
                </c:pt>
                <c:pt idx="4">
                  <c:v>8.3293367740197966E-2</c:v>
                </c:pt>
                <c:pt idx="5">
                  <c:v>7.9026651148944027E-2</c:v>
                </c:pt>
                <c:pt idx="6">
                  <c:v>7.8272092693458972E-2</c:v>
                </c:pt>
                <c:pt idx="7">
                  <c:v>7.1975694101054033E-2</c:v>
                </c:pt>
                <c:pt idx="8">
                  <c:v>6.6912351850652974E-2</c:v>
                </c:pt>
                <c:pt idx="9">
                  <c:v>6.5322027626449009E-2</c:v>
                </c:pt>
                <c:pt idx="10">
                  <c:v>6.1850528783485959E-2</c:v>
                </c:pt>
                <c:pt idx="11">
                  <c:v>5.6567704010407061E-2</c:v>
                </c:pt>
                <c:pt idx="12">
                  <c:v>5.6867833331596063E-2</c:v>
                </c:pt>
                <c:pt idx="13">
                  <c:v>5.1743376270660002E-2</c:v>
                </c:pt>
                <c:pt idx="14">
                  <c:v>4.8950285524253068E-2</c:v>
                </c:pt>
                <c:pt idx="15">
                  <c:v>4.8548650090884937E-2</c:v>
                </c:pt>
                <c:pt idx="16">
                  <c:v>4.6683689444641074E-2</c:v>
                </c:pt>
                <c:pt idx="17">
                  <c:v>4.3762421513367955E-2</c:v>
                </c:pt>
                <c:pt idx="18">
                  <c:v>3.8784518143418989E-2</c:v>
                </c:pt>
                <c:pt idx="19">
                  <c:v>4.0622266656697992E-2</c:v>
                </c:pt>
                <c:pt idx="20">
                  <c:v>3.8354743638585931E-2</c:v>
                </c:pt>
                <c:pt idx="21">
                  <c:v>3.5993985599961031E-2</c:v>
                </c:pt>
                <c:pt idx="22">
                  <c:v>3.6464192379553007E-2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B8AF-44DE-951F-36B1EDC14B15}"/>
            </c:ext>
          </c:extLst>
        </c:ser>
        <c:ser>
          <c:idx val="0"/>
          <c:order val="1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B8AF-44DE-951F-36B1EDC14B15}"/>
            </c:ext>
          </c:extLst>
        </c:ser>
        <c:ser>
          <c:idx val="10"/>
          <c:order val="11"/>
          <c:tx>
            <c:v>MLE_EM +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32'!$A$37:$A$59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32'!$I$37:$I$60</c:f>
              <c:numCache>
                <c:formatCode>0.0000</c:formatCode>
                <c:ptCount val="24"/>
                <c:pt idx="0">
                  <c:v>6.7353462337343697E-2</c:v>
                </c:pt>
                <c:pt idx="1">
                  <c:v>0.15539978703187179</c:v>
                </c:pt>
                <c:pt idx="2">
                  <c:v>0.25678844247420768</c:v>
                </c:pt>
                <c:pt idx="3">
                  <c:v>0.37709444509491696</c:v>
                </c:pt>
                <c:pt idx="4">
                  <c:v>0.48870943678871398</c:v>
                </c:pt>
                <c:pt idx="5">
                  <c:v>0.59720122093841599</c:v>
                </c:pt>
                <c:pt idx="6">
                  <c:v>0.64156666932962292</c:v>
                </c:pt>
                <c:pt idx="7">
                  <c:v>0.74627161620358407</c:v>
                </c:pt>
                <c:pt idx="8">
                  <c:v>0.80528312267519708</c:v>
                </c:pt>
                <c:pt idx="9">
                  <c:v>0.84468709753930704</c:v>
                </c:pt>
                <c:pt idx="10">
                  <c:v>0.89523502286096401</c:v>
                </c:pt>
                <c:pt idx="11">
                  <c:v>0.95328341733737099</c:v>
                </c:pt>
                <c:pt idx="12">
                  <c:v>0.95817542430483604</c:v>
                </c:pt>
                <c:pt idx="13">
                  <c:v>1.0135751290813659</c:v>
                </c:pt>
                <c:pt idx="14">
                  <c:v>1.0366362331745189</c:v>
                </c:pt>
                <c:pt idx="15">
                  <c:v>1.042712912344977</c:v>
                </c:pt>
                <c:pt idx="16">
                  <c:v>1.0689206382386351</c:v>
                </c:pt>
                <c:pt idx="17">
                  <c:v>1.0957616867909601</c:v>
                </c:pt>
                <c:pt idx="18">
                  <c:v>1.1397246732243951</c:v>
                </c:pt>
                <c:pt idx="19">
                  <c:v>1.12572259183118</c:v>
                </c:pt>
                <c:pt idx="20">
                  <c:v>1.1536758562854241</c:v>
                </c:pt>
                <c:pt idx="21">
                  <c:v>1.1731851160513411</c:v>
                </c:pt>
                <c:pt idx="22">
                  <c:v>1.172542190549315</c:v>
                </c:pt>
                <c:pt idx="23">
                  <c:v>1.1941172262995901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B8AF-44DE-951F-36B1EDC14B15}"/>
            </c:ext>
          </c:extLst>
        </c:ser>
        <c:ser>
          <c:idx val="12"/>
          <c:order val="12"/>
          <c:tx>
            <c:v>MLE_EM +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32'!$K$37:$K$60</c:f>
              <c:numCache>
                <c:formatCode>0.0000</c:formatCode>
                <c:ptCount val="24"/>
                <c:pt idx="0">
                  <c:v>7.4387131288182001E-2</c:v>
                </c:pt>
                <c:pt idx="1">
                  <c:v>0.17209055040312249</c:v>
                </c:pt>
                <c:pt idx="2">
                  <c:v>0.27670161180654596</c:v>
                </c:pt>
                <c:pt idx="3">
                  <c:v>0.38984543668698601</c:v>
                </c:pt>
                <c:pt idx="4">
                  <c:v>0.46996179994449894</c:v>
                </c:pt>
                <c:pt idx="5">
                  <c:v>0.54679714705229499</c:v>
                </c:pt>
                <c:pt idx="6">
                  <c:v>0.57115076174202495</c:v>
                </c:pt>
                <c:pt idx="7">
                  <c:v>0.63184443420508396</c:v>
                </c:pt>
                <c:pt idx="8">
                  <c:v>0.66573642553701307</c:v>
                </c:pt>
                <c:pt idx="9">
                  <c:v>0.68117331339886</c:v>
                </c:pt>
                <c:pt idx="10">
                  <c:v>0.70293793654242498</c:v>
                </c:pt>
                <c:pt idx="11">
                  <c:v>0.72871961749466707</c:v>
                </c:pt>
                <c:pt idx="12">
                  <c:v>0.72845533789497208</c:v>
                </c:pt>
                <c:pt idx="13">
                  <c:v>0.75004811212476397</c:v>
                </c:pt>
                <c:pt idx="14">
                  <c:v>0.76028388867083407</c:v>
                </c:pt>
                <c:pt idx="15">
                  <c:v>0.76187036538295594</c:v>
                </c:pt>
                <c:pt idx="16">
                  <c:v>0.76841658240388111</c:v>
                </c:pt>
                <c:pt idx="17">
                  <c:v>0.77784023709389094</c:v>
                </c:pt>
                <c:pt idx="18">
                  <c:v>0.79226099482706003</c:v>
                </c:pt>
                <c:pt idx="19">
                  <c:v>0.78688691179187598</c:v>
                </c:pt>
                <c:pt idx="20">
                  <c:v>0.792037320973635</c:v>
                </c:pt>
                <c:pt idx="21">
                  <c:v>0.79804532001956807</c:v>
                </c:pt>
                <c:pt idx="22">
                  <c:v>0.79622530061326302</c:v>
                </c:pt>
                <c:pt idx="23">
                  <c:v>0.80247598697663902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B8AF-44DE-951F-36B1EDC14B15}"/>
            </c:ext>
          </c:extLst>
        </c:ser>
        <c:ser>
          <c:idx val="13"/>
          <c:order val="13"/>
          <c:tx>
            <c:v>MOM -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32'!$M$37:$M$60</c:f>
              <c:numCache>
                <c:formatCode>0.0000</c:formatCode>
                <c:ptCount val="24"/>
                <c:pt idx="0">
                  <c:v>4.01589281617609E-2</c:v>
                </c:pt>
                <c:pt idx="1">
                  <c:v>6.62605511062727E-2</c:v>
                </c:pt>
                <c:pt idx="2">
                  <c:v>8.1226651729598309E-2</c:v>
                </c:pt>
                <c:pt idx="3">
                  <c:v>8.9519848144384018E-2</c:v>
                </c:pt>
                <c:pt idx="4">
                  <c:v>9.4702751246264011E-2</c:v>
                </c:pt>
                <c:pt idx="5">
                  <c:v>9.5307026225729008E-2</c:v>
                </c:pt>
                <c:pt idx="6">
                  <c:v>9.6185355246595994E-2</c:v>
                </c:pt>
                <c:pt idx="7">
                  <c:v>9.5247257798343976E-2</c:v>
                </c:pt>
                <c:pt idx="8">
                  <c:v>9.4116352100017009E-2</c:v>
                </c:pt>
                <c:pt idx="9">
                  <c:v>9.4109946245095E-2</c:v>
                </c:pt>
                <c:pt idx="10">
                  <c:v>9.3472620966387032E-2</c:v>
                </c:pt>
                <c:pt idx="11">
                  <c:v>9.1926362316562982E-2</c:v>
                </c:pt>
                <c:pt idx="12">
                  <c:v>9.2196416805938985E-2</c:v>
                </c:pt>
                <c:pt idx="13">
                  <c:v>9.0715137691223025E-2</c:v>
                </c:pt>
                <c:pt idx="14">
                  <c:v>8.9704447179795033E-2</c:v>
                </c:pt>
                <c:pt idx="15">
                  <c:v>8.9690665046605E-2</c:v>
                </c:pt>
                <c:pt idx="16">
                  <c:v>8.9242516972882935E-2</c:v>
                </c:pt>
                <c:pt idx="17">
                  <c:v>8.8328435046241049E-2</c:v>
                </c:pt>
                <c:pt idx="18">
                  <c:v>8.666600536498803E-2</c:v>
                </c:pt>
                <c:pt idx="19">
                  <c:v>8.7305213126712966E-2</c:v>
                </c:pt>
                <c:pt idx="20">
                  <c:v>8.6718678339694044E-2</c:v>
                </c:pt>
                <c:pt idx="21">
                  <c:v>8.592253543339895E-2</c:v>
                </c:pt>
                <c:pt idx="22">
                  <c:v>8.6136674269407021E-2</c:v>
                </c:pt>
                <c:pt idx="23">
                  <c:v>8.5254401384965983E-2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B8AF-44DE-951F-36B1EDC14B15}"/>
            </c:ext>
          </c:extLst>
        </c:ser>
        <c:ser>
          <c:idx val="14"/>
          <c:order val="14"/>
          <c:tx>
            <c:v>MOM +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32'!$N$37:$N$60</c:f>
              <c:numCache>
                <c:formatCode>0.0000</c:formatCode>
                <c:ptCount val="24"/>
                <c:pt idx="0">
                  <c:v>7.4002097504622305E-2</c:v>
                </c:pt>
                <c:pt idx="1">
                  <c:v>0.16760812003769532</c:v>
                </c:pt>
                <c:pt idx="2">
                  <c:v>0.26887267933866771</c:v>
                </c:pt>
                <c:pt idx="3">
                  <c:v>0.38219119191874801</c:v>
                </c:pt>
                <c:pt idx="4">
                  <c:v>0.48520876782046796</c:v>
                </c:pt>
                <c:pt idx="5">
                  <c:v>0.58071830777840305</c:v>
                </c:pt>
                <c:pt idx="6">
                  <c:v>0.61965974187974804</c:v>
                </c:pt>
                <c:pt idx="7">
                  <c:v>0.71116503445419799</c:v>
                </c:pt>
                <c:pt idx="8">
                  <c:v>0.761884376972077</c:v>
                </c:pt>
                <c:pt idx="9">
                  <c:v>0.7961639261380109</c:v>
                </c:pt>
                <c:pt idx="10">
                  <c:v>0.84018078546253694</c:v>
                </c:pt>
                <c:pt idx="11">
                  <c:v>0.88949420278495106</c:v>
                </c:pt>
                <c:pt idx="12">
                  <c:v>0.89402569977392909</c:v>
                </c:pt>
                <c:pt idx="13">
                  <c:v>0.94145285941427304</c:v>
                </c:pt>
                <c:pt idx="14">
                  <c:v>0.96067633139531905</c:v>
                </c:pt>
                <c:pt idx="15">
                  <c:v>0.96623673333970905</c:v>
                </c:pt>
                <c:pt idx="16">
                  <c:v>0.98837464843634093</c:v>
                </c:pt>
                <c:pt idx="17">
                  <c:v>1.0110612827562071</c:v>
                </c:pt>
                <c:pt idx="18">
                  <c:v>1.0482386363032141</c:v>
                </c:pt>
                <c:pt idx="19">
                  <c:v>1.0367545450300371</c:v>
                </c:pt>
                <c:pt idx="20">
                  <c:v>1.060686554246294</c:v>
                </c:pt>
                <c:pt idx="21">
                  <c:v>1.0768807760314449</c:v>
                </c:pt>
                <c:pt idx="22">
                  <c:v>1.0769149933063871</c:v>
                </c:pt>
                <c:pt idx="23">
                  <c:v>1.0945199109947499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B8AF-44DE-951F-36B1EDC14B15}"/>
            </c:ext>
          </c:extLst>
        </c:ser>
        <c:ser>
          <c:idx val="15"/>
          <c:order val="15"/>
          <c:tx>
            <c:v>MOM -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32'!$O$37:$O$60</c:f>
              <c:numCache>
                <c:formatCode>0.0000</c:formatCode>
                <c:ptCount val="24"/>
                <c:pt idx="0">
                  <c:v>3.1172833151825799E-2</c:v>
                </c:pt>
                <c:pt idx="1">
                  <c:v>5.2905754873569105E-2</c:v>
                </c:pt>
                <c:pt idx="2">
                  <c:v>6.9055969269068013E-2</c:v>
                </c:pt>
                <c:pt idx="3">
                  <c:v>8.6188649063622003E-2</c:v>
                </c:pt>
                <c:pt idx="4">
                  <c:v>0.120570535796859</c:v>
                </c:pt>
                <c:pt idx="5">
                  <c:v>0.146826052157284</c:v>
                </c:pt>
                <c:pt idx="6">
                  <c:v>0.16471056050531402</c:v>
                </c:pt>
                <c:pt idx="7">
                  <c:v>0.20001900830117497</c:v>
                </c:pt>
                <c:pt idx="8">
                  <c:v>0.21910107488446701</c:v>
                </c:pt>
                <c:pt idx="9">
                  <c:v>0.23930158738744298</c:v>
                </c:pt>
                <c:pt idx="10">
                  <c:v>0.26303779343184902</c:v>
                </c:pt>
                <c:pt idx="11">
                  <c:v>0.28746383118247099</c:v>
                </c:pt>
                <c:pt idx="12">
                  <c:v>0.29249988229392998</c:v>
                </c:pt>
                <c:pt idx="13">
                  <c:v>0.31900245003925798</c:v>
                </c:pt>
                <c:pt idx="14">
                  <c:v>0.32791017959298002</c:v>
                </c:pt>
                <c:pt idx="15">
                  <c:v>0.332174336634811</c:v>
                </c:pt>
                <c:pt idx="16">
                  <c:v>0.34784516697623696</c:v>
                </c:pt>
                <c:pt idx="17">
                  <c:v>0.36119519597984007</c:v>
                </c:pt>
                <c:pt idx="18">
                  <c:v>0.38379747338721504</c:v>
                </c:pt>
                <c:pt idx="19">
                  <c:v>0.37782675746169697</c:v>
                </c:pt>
                <c:pt idx="20">
                  <c:v>0.39658879316623802</c:v>
                </c:pt>
                <c:pt idx="21">
                  <c:v>0.40657096946071197</c:v>
                </c:pt>
                <c:pt idx="22">
                  <c:v>0.40861511101509801</c:v>
                </c:pt>
                <c:pt idx="23">
                  <c:v>0.41957787020689497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B8AF-44DE-951F-36B1EDC14B15}"/>
            </c:ext>
          </c:extLst>
        </c:ser>
        <c:ser>
          <c:idx val="16"/>
          <c:order val="16"/>
          <c:tx>
            <c:v>MOM +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32'!$P$37:$P$60</c:f>
              <c:numCache>
                <c:formatCode>0.0000</c:formatCode>
                <c:ptCount val="24"/>
                <c:pt idx="0">
                  <c:v>8.2988192514557399E-2</c:v>
                </c:pt>
                <c:pt idx="1">
                  <c:v>0.1809629162703989</c:v>
                </c:pt>
                <c:pt idx="2">
                  <c:v>0.28104336179919798</c:v>
                </c:pt>
                <c:pt idx="3">
                  <c:v>0.38552239099951002</c:v>
                </c:pt>
                <c:pt idx="4">
                  <c:v>0.45934098326987299</c:v>
                </c:pt>
                <c:pt idx="5">
                  <c:v>0.52919928184684806</c:v>
                </c:pt>
                <c:pt idx="6">
                  <c:v>0.55113453662103007</c:v>
                </c:pt>
                <c:pt idx="7">
                  <c:v>0.60639328395136705</c:v>
                </c:pt>
                <c:pt idx="8">
                  <c:v>0.63689965418762706</c:v>
                </c:pt>
                <c:pt idx="9">
                  <c:v>0.65097228499566295</c:v>
                </c:pt>
                <c:pt idx="10">
                  <c:v>0.67061561299707506</c:v>
                </c:pt>
                <c:pt idx="11">
                  <c:v>0.693956733919043</c:v>
                </c:pt>
                <c:pt idx="12">
                  <c:v>0.69372223428593804</c:v>
                </c:pt>
                <c:pt idx="13">
                  <c:v>0.71316554706623803</c:v>
                </c:pt>
                <c:pt idx="14">
                  <c:v>0.72247059898213406</c:v>
                </c:pt>
                <c:pt idx="15">
                  <c:v>0.723753061751503</c:v>
                </c:pt>
                <c:pt idx="16">
                  <c:v>0.7297719984329869</c:v>
                </c:pt>
                <c:pt idx="17">
                  <c:v>0.73819452182260803</c:v>
                </c:pt>
                <c:pt idx="18">
                  <c:v>0.751107168280987</c:v>
                </c:pt>
                <c:pt idx="19">
                  <c:v>0.74623300069505305</c:v>
                </c:pt>
                <c:pt idx="20">
                  <c:v>0.75081643941975007</c:v>
                </c:pt>
                <c:pt idx="21">
                  <c:v>0.75623234200413192</c:v>
                </c:pt>
                <c:pt idx="22">
                  <c:v>0.75443655656069608</c:v>
                </c:pt>
                <c:pt idx="23">
                  <c:v>0.76019644217282101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B8AF-44DE-951F-36B1EDC14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10624"/>
        <c:axId val="202412800"/>
      </c:scatterChart>
      <c:valAx>
        <c:axId val="2024106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-25000"/>
                  <a:t>10</a:t>
                </a:r>
                <a:r>
                  <a:rPr lang="en-US"/>
                  <a:t> R_0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12800"/>
        <c:crosses val="autoZero"/>
        <c:crossBetween val="midCat"/>
        <c:minorUnit val="0.1"/>
      </c:valAx>
      <c:valAx>
        <c:axId val="20241280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</a:t>
                </a:r>
                <a:r>
                  <a:rPr lang="en-US" baseline="0"/>
                  <a:t> log</a:t>
                </a:r>
                <a:r>
                  <a:rPr lang="en-US" baseline="-25000"/>
                  <a:t>10</a:t>
                </a:r>
                <a:r>
                  <a:rPr lang="en-US" baseline="0"/>
                  <a:t> R_0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1062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MOM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64'!$L$37:$L$59</c:f>
              <c:numCache>
                <c:formatCode>0.0000</c:formatCode>
                <c:ptCount val="23"/>
                <c:pt idx="0">
                  <c:v>5.5052271260438698E-2</c:v>
                </c:pt>
                <c:pt idx="1">
                  <c:v>0.10646198622695301</c:v>
                </c:pt>
                <c:pt idx="2">
                  <c:v>0.150545195920464</c:v>
                </c:pt>
                <c:pt idx="3">
                  <c:v>0.20837092703380999</c:v>
                </c:pt>
                <c:pt idx="4">
                  <c:v>0.26644621383655598</c:v>
                </c:pt>
                <c:pt idx="5">
                  <c:v>0.33594603169028098</c:v>
                </c:pt>
                <c:pt idx="6">
                  <c:v>0.37543600285698497</c:v>
                </c:pt>
                <c:pt idx="7">
                  <c:v>0.46402234698784101</c:v>
                </c:pt>
                <c:pt idx="8">
                  <c:v>0.510922958323624</c:v>
                </c:pt>
                <c:pt idx="9">
                  <c:v>0.54184509350449395</c:v>
                </c:pt>
                <c:pt idx="10">
                  <c:v>0.60841037918386798</c:v>
                </c:pt>
                <c:pt idx="11">
                  <c:v>0.66342605607295102</c:v>
                </c:pt>
                <c:pt idx="12">
                  <c:v>0.68396042664678303</c:v>
                </c:pt>
                <c:pt idx="13">
                  <c:v>0.72626779945576103</c:v>
                </c:pt>
                <c:pt idx="14">
                  <c:v>0.77590287711619499</c:v>
                </c:pt>
                <c:pt idx="15">
                  <c:v>0.80806859221948701</c:v>
                </c:pt>
                <c:pt idx="16">
                  <c:v>0.83911835424387704</c:v>
                </c:pt>
                <c:pt idx="17">
                  <c:v>0.87728585874780796</c:v>
                </c:pt>
                <c:pt idx="18">
                  <c:v>0.88734668039815801</c:v>
                </c:pt>
                <c:pt idx="19">
                  <c:v>0.89181649060602197</c:v>
                </c:pt>
                <c:pt idx="20">
                  <c:v>0.93056559196445499</c:v>
                </c:pt>
                <c:pt idx="21">
                  <c:v>0.96472010527032404</c:v>
                </c:pt>
                <c:pt idx="22">
                  <c:v>0.95855079581407299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CF-4907-988A-32E74117E6F1}"/>
            </c:ext>
          </c:extLst>
        </c:ser>
        <c:ser>
          <c:idx val="11"/>
          <c:order val="1"/>
          <c:tx>
            <c:v>MLE_EM -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64'!$A$37:$A$59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64'!$J$37:$J$60</c:f>
              <c:numCache>
                <c:formatCode>0.0000</c:formatCode>
                <c:ptCount val="24"/>
                <c:pt idx="0">
                  <c:v>3.80639759729577E-2</c:v>
                </c:pt>
                <c:pt idx="1">
                  <c:v>6.7171748941617593E-2</c:v>
                </c:pt>
                <c:pt idx="2">
                  <c:v>8.678857745064171E-2</c:v>
                </c:pt>
                <c:pt idx="3">
                  <c:v>9.3850622963980002E-2</c:v>
                </c:pt>
                <c:pt idx="4">
                  <c:v>9.1980503532584995E-2</c:v>
                </c:pt>
                <c:pt idx="5">
                  <c:v>0.11644743018229803</c:v>
                </c:pt>
                <c:pt idx="6">
                  <c:v>0.12933716711015097</c:v>
                </c:pt>
                <c:pt idx="7">
                  <c:v>0.14250887499495096</c:v>
                </c:pt>
                <c:pt idx="8">
                  <c:v>0.170780000070136</c:v>
                </c:pt>
                <c:pt idx="9">
                  <c:v>0.19226019667227495</c:v>
                </c:pt>
                <c:pt idx="10">
                  <c:v>0.22626840360676403</c:v>
                </c:pt>
                <c:pt idx="11">
                  <c:v>0.267845826276365</c:v>
                </c:pt>
                <c:pt idx="12">
                  <c:v>0.27271409877152997</c:v>
                </c:pt>
                <c:pt idx="13">
                  <c:v>0.30658345679814297</c:v>
                </c:pt>
                <c:pt idx="14">
                  <c:v>0.35179076588177205</c:v>
                </c:pt>
                <c:pt idx="15">
                  <c:v>0.38121198691091901</c:v>
                </c:pt>
                <c:pt idx="16">
                  <c:v>0.40073097564867199</c:v>
                </c:pt>
                <c:pt idx="17">
                  <c:v>0.44649110849919105</c:v>
                </c:pt>
                <c:pt idx="18">
                  <c:v>0.45124689889651298</c:v>
                </c:pt>
                <c:pt idx="19">
                  <c:v>0.46371597461854097</c:v>
                </c:pt>
                <c:pt idx="20">
                  <c:v>0.501275423533033</c:v>
                </c:pt>
                <c:pt idx="21">
                  <c:v>0.53500328358879501</c:v>
                </c:pt>
                <c:pt idx="22">
                  <c:v>0.53351749941468807</c:v>
                </c:pt>
                <c:pt idx="23">
                  <c:v>0.56294675385726101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ECF-4907-988A-32E74117E6F1}"/>
            </c:ext>
          </c:extLst>
        </c:ser>
        <c:ser>
          <c:idx val="5"/>
          <c:order val="2"/>
          <c:tx>
            <c:v>Identity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ECF-4907-988A-32E74117E6F1}"/>
            </c:ext>
          </c:extLst>
        </c:ser>
        <c:ser>
          <c:idx val="1"/>
          <c:order val="3"/>
          <c:tx>
            <c:v>MLE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64'!$B$37:$B$60</c:f>
              <c:numCache>
                <c:formatCode>0.0000</c:formatCode>
                <c:ptCount val="24"/>
                <c:pt idx="0">
                  <c:v>5.0946802181494E-2</c:v>
                </c:pt>
                <c:pt idx="1">
                  <c:v>0.101014496976</c:v>
                </c:pt>
                <c:pt idx="2">
                  <c:v>0.14953373522729699</c:v>
                </c:pt>
                <c:pt idx="3">
                  <c:v>0.21954506199587101</c:v>
                </c:pt>
                <c:pt idx="4">
                  <c:v>0.285214893709757</c:v>
                </c:pt>
                <c:pt idx="5">
                  <c:v>0.36496398956157799</c:v>
                </c:pt>
                <c:pt idx="6">
                  <c:v>0.405582746862303</c:v>
                </c:pt>
                <c:pt idx="7">
                  <c:v>0.48389364184193201</c:v>
                </c:pt>
                <c:pt idx="8">
                  <c:v>0.51833378431976496</c:v>
                </c:pt>
                <c:pt idx="9">
                  <c:v>0.54845725410070101</c:v>
                </c:pt>
                <c:pt idx="10">
                  <c:v>0.59641631425353203</c:v>
                </c:pt>
                <c:pt idx="11">
                  <c:v>0.643133348615191</c:v>
                </c:pt>
                <c:pt idx="12">
                  <c:v>0.63612708634266402</c:v>
                </c:pt>
                <c:pt idx="13">
                  <c:v>0.659006408743391</c:v>
                </c:pt>
                <c:pt idx="14">
                  <c:v>0.69381468030311999</c:v>
                </c:pt>
                <c:pt idx="15">
                  <c:v>0.71979348834748302</c:v>
                </c:pt>
                <c:pt idx="16">
                  <c:v>0.72935159791136495</c:v>
                </c:pt>
                <c:pt idx="17">
                  <c:v>0.74372789154613805</c:v>
                </c:pt>
                <c:pt idx="18">
                  <c:v>0.75209156249937903</c:v>
                </c:pt>
                <c:pt idx="19">
                  <c:v>0.76159621998861204</c:v>
                </c:pt>
                <c:pt idx="20">
                  <c:v>0.78834326094257501</c:v>
                </c:pt>
                <c:pt idx="21">
                  <c:v>0.81127760288637996</c:v>
                </c:pt>
                <c:pt idx="22">
                  <c:v>0.81073183046194697</c:v>
                </c:pt>
                <c:pt idx="23">
                  <c:v>0.80975872979636399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ECF-4907-988A-32E74117E6F1}"/>
            </c:ext>
          </c:extLst>
        </c:ser>
        <c:ser>
          <c:idx val="4"/>
          <c:order val="4"/>
          <c:tx>
            <c:v>MLE -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64'!$C$37:$C$60</c:f>
              <c:numCache>
                <c:formatCode>0.0000</c:formatCode>
                <c:ptCount val="24"/>
                <c:pt idx="0">
                  <c:v>5.0930436811826331E-2</c:v>
                </c:pt>
                <c:pt idx="1">
                  <c:v>0.10092200091070319</c:v>
                </c:pt>
                <c:pt idx="2">
                  <c:v>0.13051141357072418</c:v>
                </c:pt>
                <c:pt idx="3">
                  <c:v>-2.1630681629582982E-2</c:v>
                </c:pt>
                <c:pt idx="4">
                  <c:v>-0.59517153236785303</c:v>
                </c:pt>
                <c:pt idx="5">
                  <c:v>-1.307766649222152</c:v>
                </c:pt>
                <c:pt idx="6">
                  <c:v>-1.1133531798288869</c:v>
                </c:pt>
                <c:pt idx="7">
                  <c:v>-6.9431308071190081</c:v>
                </c:pt>
                <c:pt idx="8">
                  <c:v>-7.2842927075275847</c:v>
                </c:pt>
                <c:pt idx="9">
                  <c:v>-10.876969613422899</c:v>
                </c:pt>
                <c:pt idx="10">
                  <c:v>-14.236412819664968</c:v>
                </c:pt>
                <c:pt idx="11">
                  <c:v>-24.589576056989909</c:v>
                </c:pt>
                <c:pt idx="12">
                  <c:v>-34.319473868442635</c:v>
                </c:pt>
                <c:pt idx="13">
                  <c:v>-20.323936917974208</c:v>
                </c:pt>
                <c:pt idx="14">
                  <c:v>-20.840352028259879</c:v>
                </c:pt>
                <c:pt idx="15">
                  <c:v>-23.833132464992914</c:v>
                </c:pt>
                <c:pt idx="16">
                  <c:v>-35.097364589651434</c:v>
                </c:pt>
                <c:pt idx="17">
                  <c:v>-31.920313414441964</c:v>
                </c:pt>
                <c:pt idx="18">
                  <c:v>-36.974897994358919</c:v>
                </c:pt>
                <c:pt idx="19">
                  <c:v>-48.142686949794886</c:v>
                </c:pt>
                <c:pt idx="20">
                  <c:v>-34.240593270469525</c:v>
                </c:pt>
                <c:pt idx="21">
                  <c:v>-30.90036736967242</c:v>
                </c:pt>
                <c:pt idx="22">
                  <c:v>-33.591466383017753</c:v>
                </c:pt>
                <c:pt idx="23">
                  <c:v>-30.553752158766237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9ECF-4907-988A-32E74117E6F1}"/>
            </c:ext>
          </c:extLst>
        </c:ser>
        <c:ser>
          <c:idx val="6"/>
          <c:order val="5"/>
          <c:tx>
            <c:v>MLE +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64'!$D$37:$D$60</c:f>
              <c:numCache>
                <c:formatCode>0.0000</c:formatCode>
                <c:ptCount val="24"/>
                <c:pt idx="0">
                  <c:v>5.0963167551161669E-2</c:v>
                </c:pt>
                <c:pt idx="1">
                  <c:v>0.10110699304129681</c:v>
                </c:pt>
                <c:pt idx="2">
                  <c:v>0.16855605688386979</c:v>
                </c:pt>
                <c:pt idx="3">
                  <c:v>0.460720805621325</c:v>
                </c:pt>
                <c:pt idx="4">
                  <c:v>1.1656013197873669</c:v>
                </c:pt>
                <c:pt idx="5">
                  <c:v>2.0376946283453079</c:v>
                </c:pt>
                <c:pt idx="6">
                  <c:v>1.9245186735534929</c:v>
                </c:pt>
                <c:pt idx="7">
                  <c:v>7.9109180908028716</c:v>
                </c:pt>
                <c:pt idx="8">
                  <c:v>8.3209602761671153</c:v>
                </c:pt>
                <c:pt idx="9">
                  <c:v>11.9738841216243</c:v>
                </c:pt>
                <c:pt idx="10">
                  <c:v>15.429245448172031</c:v>
                </c:pt>
                <c:pt idx="11">
                  <c:v>25.87584275422029</c:v>
                </c:pt>
                <c:pt idx="12">
                  <c:v>35.591728041127958</c:v>
                </c:pt>
                <c:pt idx="13">
                  <c:v>21.64194973546099</c:v>
                </c:pt>
                <c:pt idx="14">
                  <c:v>22.22798138886612</c:v>
                </c:pt>
                <c:pt idx="15">
                  <c:v>25.272719441687883</c:v>
                </c:pt>
                <c:pt idx="16">
                  <c:v>36.55606778547417</c:v>
                </c:pt>
                <c:pt idx="17">
                  <c:v>33.407769197534236</c:v>
                </c:pt>
                <c:pt idx="18">
                  <c:v>38.47908111935768</c:v>
                </c:pt>
                <c:pt idx="19">
                  <c:v>49.665879389772108</c:v>
                </c:pt>
                <c:pt idx="20">
                  <c:v>35.817279792354675</c:v>
                </c:pt>
                <c:pt idx="21">
                  <c:v>32.522922575445179</c:v>
                </c:pt>
                <c:pt idx="22">
                  <c:v>35.212930043941647</c:v>
                </c:pt>
                <c:pt idx="23">
                  <c:v>32.173269618358965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9ECF-4907-988A-32E74117E6F1}"/>
            </c:ext>
          </c:extLst>
        </c:ser>
        <c:ser>
          <c:idx val="7"/>
          <c:order val="6"/>
          <c:tx>
            <c:v>MLE -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64'!$E$37:$E$60</c:f>
              <c:numCache>
                <c:formatCode>0.0000</c:formatCode>
                <c:ptCount val="24"/>
                <c:pt idx="0">
                  <c:v>3.79552543219858E-2</c:v>
                </c:pt>
                <c:pt idx="1">
                  <c:v>6.6310068547594192E-2</c:v>
                </c:pt>
                <c:pt idx="2">
                  <c:v>8.2388486410501394E-2</c:v>
                </c:pt>
                <c:pt idx="3">
                  <c:v>8.0405690342376018E-2</c:v>
                </c:pt>
                <c:pt idx="4">
                  <c:v>0.10581299511533301</c:v>
                </c:pt>
                <c:pt idx="5">
                  <c:v>0.151328966355635</c:v>
                </c:pt>
                <c:pt idx="6">
                  <c:v>0.17354992130333399</c:v>
                </c:pt>
                <c:pt idx="7">
                  <c:v>0.224365937453671</c:v>
                </c:pt>
                <c:pt idx="8">
                  <c:v>0.26209463183504594</c:v>
                </c:pt>
                <c:pt idx="9">
                  <c:v>0.28485837533368802</c:v>
                </c:pt>
                <c:pt idx="10">
                  <c:v>0.32711318128342703</c:v>
                </c:pt>
                <c:pt idx="11">
                  <c:v>0.38035726955079302</c:v>
                </c:pt>
                <c:pt idx="12">
                  <c:v>0.37023902247936802</c:v>
                </c:pt>
                <c:pt idx="13">
                  <c:v>0.398200114846194</c:v>
                </c:pt>
                <c:pt idx="14">
                  <c:v>0.44161947873583901</c:v>
                </c:pt>
                <c:pt idx="15">
                  <c:v>0.46195285425709204</c:v>
                </c:pt>
                <c:pt idx="16">
                  <c:v>0.47968690640144396</c:v>
                </c:pt>
                <c:pt idx="17">
                  <c:v>0.49596367285764309</c:v>
                </c:pt>
                <c:pt idx="18">
                  <c:v>0.50290755614903604</c:v>
                </c:pt>
                <c:pt idx="19">
                  <c:v>0.50873915458610108</c:v>
                </c:pt>
                <c:pt idx="20">
                  <c:v>0.54115820734417297</c:v>
                </c:pt>
                <c:pt idx="21">
                  <c:v>0.57662785669586591</c:v>
                </c:pt>
                <c:pt idx="22">
                  <c:v>0.58737225362403001</c:v>
                </c:pt>
                <c:pt idx="23">
                  <c:v>0.59749694392628805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9ECF-4907-988A-32E74117E6F1}"/>
            </c:ext>
          </c:extLst>
        </c:ser>
        <c:ser>
          <c:idx val="8"/>
          <c:order val="7"/>
          <c:tx>
            <c:v>MLE +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64'!$F$37:$F$60</c:f>
              <c:numCache>
                <c:formatCode>0.0000</c:formatCode>
                <c:ptCount val="24"/>
                <c:pt idx="0">
                  <c:v>6.3938350041002207E-2</c:v>
                </c:pt>
                <c:pt idx="1">
                  <c:v>0.1357189254044058</c:v>
                </c:pt>
                <c:pt idx="2">
                  <c:v>0.21667898404409258</c:v>
                </c:pt>
                <c:pt idx="3">
                  <c:v>0.35868443364936597</c:v>
                </c:pt>
                <c:pt idx="4">
                  <c:v>0.46461679230418096</c:v>
                </c:pt>
                <c:pt idx="5">
                  <c:v>0.57859901276752101</c:v>
                </c:pt>
                <c:pt idx="6">
                  <c:v>0.63761557242127198</c:v>
                </c:pt>
                <c:pt idx="7">
                  <c:v>0.74342134623019307</c:v>
                </c:pt>
                <c:pt idx="8">
                  <c:v>0.77457293680448402</c:v>
                </c:pt>
                <c:pt idx="9">
                  <c:v>0.81205613286771405</c:v>
                </c:pt>
                <c:pt idx="10">
                  <c:v>0.86571944722363703</c:v>
                </c:pt>
                <c:pt idx="11">
                  <c:v>0.90590942767958893</c:v>
                </c:pt>
                <c:pt idx="12">
                  <c:v>0.90201515020596001</c:v>
                </c:pt>
                <c:pt idx="13">
                  <c:v>0.91981270264058801</c:v>
                </c:pt>
                <c:pt idx="14">
                  <c:v>0.94600988187040103</c:v>
                </c:pt>
                <c:pt idx="15">
                  <c:v>0.97763412243787395</c:v>
                </c:pt>
                <c:pt idx="16">
                  <c:v>0.97901628942128593</c:v>
                </c:pt>
                <c:pt idx="17">
                  <c:v>0.99149211023463302</c:v>
                </c:pt>
                <c:pt idx="18">
                  <c:v>1.0012755688497221</c:v>
                </c:pt>
                <c:pt idx="19">
                  <c:v>1.014453285391123</c:v>
                </c:pt>
                <c:pt idx="20">
                  <c:v>1.035528314540977</c:v>
                </c:pt>
                <c:pt idx="21">
                  <c:v>1.0459273490768939</c:v>
                </c:pt>
                <c:pt idx="22">
                  <c:v>1.0340914072998639</c:v>
                </c:pt>
                <c:pt idx="23">
                  <c:v>1.0220205156664399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9ECF-4907-988A-32E74117E6F1}"/>
            </c:ext>
          </c:extLst>
        </c:ser>
        <c:ser>
          <c:idx val="2"/>
          <c:order val="8"/>
          <c:tx>
            <c:v>MLE_EM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64'!$G$37:$G$60</c:f>
              <c:numCache>
                <c:formatCode>0.0000</c:formatCode>
                <c:ptCount val="24"/>
                <c:pt idx="0">
                  <c:v>5.0960089669102898E-2</c:v>
                </c:pt>
                <c:pt idx="1">
                  <c:v>0.100959204193485</c:v>
                </c:pt>
                <c:pt idx="2">
                  <c:v>0.14715835863000101</c:v>
                </c:pt>
                <c:pt idx="3">
                  <c:v>0.20721291295734501</c:v>
                </c:pt>
                <c:pt idx="4">
                  <c:v>0.268427759365713</c:v>
                </c:pt>
                <c:pt idx="5">
                  <c:v>0.34076340187376702</c:v>
                </c:pt>
                <c:pt idx="6">
                  <c:v>0.38125625271156899</c:v>
                </c:pt>
                <c:pt idx="7">
                  <c:v>0.47269714765855497</c:v>
                </c:pt>
                <c:pt idx="8">
                  <c:v>0.52120690755987498</c:v>
                </c:pt>
                <c:pt idx="9">
                  <c:v>0.55292846527764095</c:v>
                </c:pt>
                <c:pt idx="10">
                  <c:v>0.62176799239913605</c:v>
                </c:pt>
                <c:pt idx="11">
                  <c:v>0.67867280465139401</c:v>
                </c:pt>
                <c:pt idx="12">
                  <c:v>0.70056258253855197</c:v>
                </c:pt>
                <c:pt idx="13">
                  <c:v>0.74419205679603695</c:v>
                </c:pt>
                <c:pt idx="14">
                  <c:v>0.79571306834092903</c:v>
                </c:pt>
                <c:pt idx="15">
                  <c:v>0.82912085522697598</c:v>
                </c:pt>
                <c:pt idx="16">
                  <c:v>0.86211068601634999</c:v>
                </c:pt>
                <c:pt idx="17">
                  <c:v>0.90158332081164005</c:v>
                </c:pt>
                <c:pt idx="18">
                  <c:v>0.91231743790389197</c:v>
                </c:pt>
                <c:pt idx="19">
                  <c:v>0.91655978197527699</c:v>
                </c:pt>
                <c:pt idx="20">
                  <c:v>0.95730781069646997</c:v>
                </c:pt>
                <c:pt idx="21">
                  <c:v>0.99337401361372002</c:v>
                </c:pt>
                <c:pt idx="22">
                  <c:v>0.986589850705481</c:v>
                </c:pt>
                <c:pt idx="23">
                  <c:v>1.01608176566432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9ECF-4907-988A-32E74117E6F1}"/>
            </c:ext>
          </c:extLst>
        </c:ser>
        <c:ser>
          <c:idx val="9"/>
          <c:order val="9"/>
          <c:tx>
            <c:v>MLE_EM -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64'!$H$37:$H$59</c:f>
              <c:numCache>
                <c:formatCode>0.0000</c:formatCode>
                <c:ptCount val="23"/>
                <c:pt idx="0">
                  <c:v>4.1372042693950117E-2</c:v>
                </c:pt>
                <c:pt idx="1">
                  <c:v>7.3795648730953095E-2</c:v>
                </c:pt>
                <c:pt idx="2">
                  <c:v>9.8575432217973213E-2</c:v>
                </c:pt>
                <c:pt idx="3">
                  <c:v>0.12309015365590621</c:v>
                </c:pt>
                <c:pt idx="4">
                  <c:v>0.140385856338099</c:v>
                </c:pt>
                <c:pt idx="5">
                  <c:v>0.15680987804279703</c:v>
                </c:pt>
                <c:pt idx="6">
                  <c:v>0.16290164889930098</c:v>
                </c:pt>
                <c:pt idx="7">
                  <c:v>0.16583121389778099</c:v>
                </c:pt>
                <c:pt idx="8">
                  <c:v>0.168627161000591</c:v>
                </c:pt>
                <c:pt idx="9">
                  <c:v>0.17016117243718992</c:v>
                </c:pt>
                <c:pt idx="10">
                  <c:v>0.16667366895249103</c:v>
                </c:pt>
                <c:pt idx="11">
                  <c:v>0.16485670917828998</c:v>
                </c:pt>
                <c:pt idx="12">
                  <c:v>0.16022377491912099</c:v>
                </c:pt>
                <c:pt idx="13">
                  <c:v>0.15663620563744396</c:v>
                </c:pt>
                <c:pt idx="14">
                  <c:v>0.15249340815051604</c:v>
                </c:pt>
                <c:pt idx="15">
                  <c:v>0.14869131710695294</c:v>
                </c:pt>
                <c:pt idx="16">
                  <c:v>0.14113749342164594</c:v>
                </c:pt>
                <c:pt idx="17">
                  <c:v>0.13814508437194606</c:v>
                </c:pt>
                <c:pt idx="18">
                  <c:v>0.13485433974707894</c:v>
                </c:pt>
                <c:pt idx="19">
                  <c:v>0.13685539386215095</c:v>
                </c:pt>
                <c:pt idx="20">
                  <c:v>0.12907632934421298</c:v>
                </c:pt>
                <c:pt idx="21">
                  <c:v>0.12153178099806305</c:v>
                </c:pt>
                <c:pt idx="22">
                  <c:v>0.12452883192639996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9ECF-4907-988A-32E74117E6F1}"/>
            </c:ext>
          </c:extLst>
        </c:ser>
        <c:ser>
          <c:idx val="0"/>
          <c:order val="1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9ECF-4907-988A-32E74117E6F1}"/>
            </c:ext>
          </c:extLst>
        </c:ser>
        <c:ser>
          <c:idx val="10"/>
          <c:order val="11"/>
          <c:tx>
            <c:v>MLE_EM +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64'!$A$37:$A$59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64'!$I$37:$I$60</c:f>
              <c:numCache>
                <c:formatCode>0.0000</c:formatCode>
                <c:ptCount val="24"/>
                <c:pt idx="0">
                  <c:v>6.0548136644255679E-2</c:v>
                </c:pt>
                <c:pt idx="1">
                  <c:v>0.12812275965601691</c:v>
                </c:pt>
                <c:pt idx="2">
                  <c:v>0.19574128504202881</c:v>
                </c:pt>
                <c:pt idx="3">
                  <c:v>0.29133567225878382</c:v>
                </c:pt>
                <c:pt idx="4">
                  <c:v>0.39646966239332704</c:v>
                </c:pt>
                <c:pt idx="5">
                  <c:v>0.52471692570473705</c:v>
                </c:pt>
                <c:pt idx="6">
                  <c:v>0.59961085652383694</c:v>
                </c:pt>
                <c:pt idx="7">
                  <c:v>0.77956308141932895</c:v>
                </c:pt>
                <c:pt idx="8">
                  <c:v>0.87378665411915901</c:v>
                </c:pt>
                <c:pt idx="9">
                  <c:v>0.93569575811809202</c:v>
                </c:pt>
                <c:pt idx="10">
                  <c:v>1.0768623158457811</c:v>
                </c:pt>
                <c:pt idx="11">
                  <c:v>1.192488900124498</c:v>
                </c:pt>
                <c:pt idx="12">
                  <c:v>1.2409013901579828</c:v>
                </c:pt>
                <c:pt idx="13">
                  <c:v>1.3317479079546299</c:v>
                </c:pt>
                <c:pt idx="14">
                  <c:v>1.438932728531342</c:v>
                </c:pt>
                <c:pt idx="15">
                  <c:v>1.5095503933469989</c:v>
                </c:pt>
                <c:pt idx="16">
                  <c:v>1.5830838786110539</c:v>
                </c:pt>
                <c:pt idx="17">
                  <c:v>1.6650215572513341</c:v>
                </c:pt>
                <c:pt idx="18">
                  <c:v>1.689780536060705</c:v>
                </c:pt>
                <c:pt idx="19">
                  <c:v>1.6962641700884031</c:v>
                </c:pt>
                <c:pt idx="20">
                  <c:v>1.785539292048727</c:v>
                </c:pt>
                <c:pt idx="21">
                  <c:v>1.8652162462293771</c:v>
                </c:pt>
                <c:pt idx="22">
                  <c:v>1.848650869484562</c:v>
                </c:pt>
                <c:pt idx="23">
                  <c:v>1.9136712703320131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9ECF-4907-988A-32E74117E6F1}"/>
            </c:ext>
          </c:extLst>
        </c:ser>
        <c:ser>
          <c:idx val="12"/>
          <c:order val="12"/>
          <c:tx>
            <c:v>MLE_EM +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64'!$K$37:$K$60</c:f>
              <c:numCache>
                <c:formatCode>0.0000</c:formatCode>
                <c:ptCount val="24"/>
                <c:pt idx="0">
                  <c:v>6.3856203365248096E-2</c:v>
                </c:pt>
                <c:pt idx="1">
                  <c:v>0.13474665944535241</c:v>
                </c:pt>
                <c:pt idx="2">
                  <c:v>0.2075281398093603</c:v>
                </c:pt>
                <c:pt idx="3">
                  <c:v>0.32057520295071001</c:v>
                </c:pt>
                <c:pt idx="4">
                  <c:v>0.44487501519884098</c:v>
                </c:pt>
                <c:pt idx="5">
                  <c:v>0.56507937356523597</c:v>
                </c:pt>
                <c:pt idx="6">
                  <c:v>0.633175338312987</c:v>
                </c:pt>
                <c:pt idx="7">
                  <c:v>0.80288542032215893</c:v>
                </c:pt>
                <c:pt idx="8">
                  <c:v>0.8716338150496139</c:v>
                </c:pt>
                <c:pt idx="9">
                  <c:v>0.91359673388300688</c:v>
                </c:pt>
                <c:pt idx="10">
                  <c:v>1.0172675811915082</c:v>
                </c:pt>
                <c:pt idx="11">
                  <c:v>1.089499783026423</c:v>
                </c:pt>
                <c:pt idx="12">
                  <c:v>1.128411066305574</c:v>
                </c:pt>
                <c:pt idx="13">
                  <c:v>1.181800656793931</c:v>
                </c:pt>
                <c:pt idx="14">
                  <c:v>1.239635370800086</c:v>
                </c:pt>
                <c:pt idx="15">
                  <c:v>1.277029723543033</c:v>
                </c:pt>
                <c:pt idx="16">
                  <c:v>1.3234903963840279</c:v>
                </c:pt>
                <c:pt idx="17">
                  <c:v>1.356675533124089</c:v>
                </c:pt>
                <c:pt idx="18">
                  <c:v>1.3733879769112709</c:v>
                </c:pt>
                <c:pt idx="19">
                  <c:v>1.3694035893320131</c:v>
                </c:pt>
                <c:pt idx="20">
                  <c:v>1.4133401978599069</c:v>
                </c:pt>
                <c:pt idx="21">
                  <c:v>1.451744743638645</c:v>
                </c:pt>
                <c:pt idx="22">
                  <c:v>1.4396622019962739</c:v>
                </c:pt>
                <c:pt idx="23">
                  <c:v>1.4692167774713789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9ECF-4907-988A-32E74117E6F1}"/>
            </c:ext>
          </c:extLst>
        </c:ser>
        <c:ser>
          <c:idx val="13"/>
          <c:order val="13"/>
          <c:tx>
            <c:v>MOM -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64'!$M$37:$M$60</c:f>
              <c:numCache>
                <c:formatCode>0.0000</c:formatCode>
                <c:ptCount val="24"/>
                <c:pt idx="0">
                  <c:v>4.4046677395684797E-2</c:v>
                </c:pt>
                <c:pt idx="1">
                  <c:v>7.7153297106897209E-2</c:v>
                </c:pt>
                <c:pt idx="2">
                  <c:v>0.10059520520171571</c:v>
                </c:pt>
                <c:pt idx="3">
                  <c:v>0.11900833050351149</c:v>
                </c:pt>
                <c:pt idx="4">
                  <c:v>8.7068050830458987E-2</c:v>
                </c:pt>
                <c:pt idx="5">
                  <c:v>4.9385437989201975E-2</c:v>
                </c:pt>
                <c:pt idx="6">
                  <c:v>7.2108014153129951E-3</c:v>
                </c:pt>
                <c:pt idx="7">
                  <c:v>-0.20512007467314503</c:v>
                </c:pt>
                <c:pt idx="8">
                  <c:v>-0.29916755392749805</c:v>
                </c:pt>
                <c:pt idx="9">
                  <c:v>-0.362115319859867</c:v>
                </c:pt>
                <c:pt idx="10">
                  <c:v>-0.57551191526830192</c:v>
                </c:pt>
                <c:pt idx="11">
                  <c:v>-0.74963404486376906</c:v>
                </c:pt>
                <c:pt idx="12">
                  <c:v>-0.88390788297080702</c:v>
                </c:pt>
                <c:pt idx="13">
                  <c:v>-1.0327836799183592</c:v>
                </c:pt>
                <c:pt idx="14">
                  <c:v>-1.2255027727676748</c:v>
                </c:pt>
                <c:pt idx="15">
                  <c:v>-1.3586227856168229</c:v>
                </c:pt>
                <c:pt idx="16">
                  <c:v>-1.555180545399383</c:v>
                </c:pt>
                <c:pt idx="17">
                  <c:v>-1.6819700229400918</c:v>
                </c:pt>
                <c:pt idx="18">
                  <c:v>-1.771699857205242</c:v>
                </c:pt>
                <c:pt idx="19">
                  <c:v>-1.747893460396718</c:v>
                </c:pt>
                <c:pt idx="20">
                  <c:v>-1.9553186108368252</c:v>
                </c:pt>
                <c:pt idx="21">
                  <c:v>-2.1625999197288959</c:v>
                </c:pt>
                <c:pt idx="22">
                  <c:v>-2.094696298576237</c:v>
                </c:pt>
                <c:pt idx="23">
                  <c:v>-2.2680896266627579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9ECF-4907-988A-32E74117E6F1}"/>
            </c:ext>
          </c:extLst>
        </c:ser>
        <c:ser>
          <c:idx val="14"/>
          <c:order val="14"/>
          <c:tx>
            <c:v>MOM +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64'!$N$37:$N$60</c:f>
              <c:numCache>
                <c:formatCode>0.0000</c:formatCode>
                <c:ptCount val="24"/>
                <c:pt idx="0">
                  <c:v>6.60578651251926E-2</c:v>
                </c:pt>
                <c:pt idx="1">
                  <c:v>0.13577067534700882</c:v>
                </c:pt>
                <c:pt idx="2">
                  <c:v>0.20049518663921229</c:v>
                </c:pt>
                <c:pt idx="3">
                  <c:v>0.29773352356410848</c:v>
                </c:pt>
                <c:pt idx="4">
                  <c:v>0.44582437684265297</c:v>
                </c:pt>
                <c:pt idx="5">
                  <c:v>0.62250662539136004</c:v>
                </c:pt>
                <c:pt idx="6">
                  <c:v>0.74366120429865701</c:v>
                </c:pt>
                <c:pt idx="7">
                  <c:v>1.1331647686488271</c:v>
                </c:pt>
                <c:pt idx="8">
                  <c:v>1.3210134705747461</c:v>
                </c:pt>
                <c:pt idx="9">
                  <c:v>1.4458055068688549</c:v>
                </c:pt>
                <c:pt idx="10">
                  <c:v>1.7923326736360379</c:v>
                </c:pt>
                <c:pt idx="11">
                  <c:v>2.0764861570096711</c:v>
                </c:pt>
                <c:pt idx="12">
                  <c:v>2.2518287362643732</c:v>
                </c:pt>
                <c:pt idx="13">
                  <c:v>2.485319278829881</c:v>
                </c:pt>
                <c:pt idx="14">
                  <c:v>2.777308527000065</c:v>
                </c:pt>
                <c:pt idx="15">
                  <c:v>2.9747599700557972</c:v>
                </c:pt>
                <c:pt idx="16">
                  <c:v>3.2334172538871369</c:v>
                </c:pt>
                <c:pt idx="17">
                  <c:v>3.4365417404357079</c:v>
                </c:pt>
                <c:pt idx="18">
                  <c:v>3.5463932180015583</c:v>
                </c:pt>
                <c:pt idx="19">
                  <c:v>3.5315264416087619</c:v>
                </c:pt>
                <c:pt idx="20">
                  <c:v>3.816449794765735</c:v>
                </c:pt>
                <c:pt idx="21">
                  <c:v>4.0920401302695444</c:v>
                </c:pt>
                <c:pt idx="22">
                  <c:v>4.0117978902043827</c:v>
                </c:pt>
                <c:pt idx="23">
                  <c:v>4.2409978546171825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9ECF-4907-988A-32E74117E6F1}"/>
            </c:ext>
          </c:extLst>
        </c:ser>
        <c:ser>
          <c:idx val="15"/>
          <c:order val="15"/>
          <c:tx>
            <c:v>MOM -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64'!$O$37:$O$60</c:f>
              <c:numCache>
                <c:formatCode>0.0000</c:formatCode>
                <c:ptCount val="24"/>
                <c:pt idx="0">
                  <c:v>3.5230000655747495E-2</c:v>
                </c:pt>
                <c:pt idx="1">
                  <c:v>7.1941590838233108E-2</c:v>
                </c:pt>
                <c:pt idx="2">
                  <c:v>9.1261357545937699E-2</c:v>
                </c:pt>
                <c:pt idx="3">
                  <c:v>9.8418076197974991E-2</c:v>
                </c:pt>
                <c:pt idx="4">
                  <c:v>9.631777835671898E-2</c:v>
                </c:pt>
                <c:pt idx="5">
                  <c:v>0.11903137173120898</c:v>
                </c:pt>
                <c:pt idx="6">
                  <c:v>0.13192470542089899</c:v>
                </c:pt>
                <c:pt idx="7">
                  <c:v>0.146271210004015</c:v>
                </c:pt>
                <c:pt idx="8">
                  <c:v>0.17388396752367302</c:v>
                </c:pt>
                <c:pt idx="9">
                  <c:v>0.19535175425952195</c:v>
                </c:pt>
                <c:pt idx="10">
                  <c:v>0.22935878878028998</c:v>
                </c:pt>
                <c:pt idx="11">
                  <c:v>0.27055358897580001</c:v>
                </c:pt>
                <c:pt idx="12">
                  <c:v>0.275058034237113</c:v>
                </c:pt>
                <c:pt idx="13">
                  <c:v>0.30876010903557305</c:v>
                </c:pt>
                <c:pt idx="14">
                  <c:v>0.35325361044760201</c:v>
                </c:pt>
                <c:pt idx="15">
                  <c:v>0.38215246494529903</c:v>
                </c:pt>
                <c:pt idx="16">
                  <c:v>0.40038025139339706</c:v>
                </c:pt>
                <c:pt idx="17">
                  <c:v>0.44520782806536496</c:v>
                </c:pt>
                <c:pt idx="18">
                  <c:v>0.44978774015829498</c:v>
                </c:pt>
                <c:pt idx="19">
                  <c:v>0.46253274267745198</c:v>
                </c:pt>
                <c:pt idx="20">
                  <c:v>0.49849720246568896</c:v>
                </c:pt>
                <c:pt idx="21">
                  <c:v>0.53070078030208911</c:v>
                </c:pt>
                <c:pt idx="22">
                  <c:v>0.52976507174589105</c:v>
                </c:pt>
                <c:pt idx="23">
                  <c:v>0.55790057694716899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9ECF-4907-988A-32E74117E6F1}"/>
            </c:ext>
          </c:extLst>
        </c:ser>
        <c:ser>
          <c:idx val="16"/>
          <c:order val="16"/>
          <c:tx>
            <c:v>MOM +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64'!$P$37:$P$60</c:f>
              <c:numCache>
                <c:formatCode>0.0000</c:formatCode>
                <c:ptCount val="24"/>
                <c:pt idx="0">
                  <c:v>7.4874541865129901E-2</c:v>
                </c:pt>
                <c:pt idx="1">
                  <c:v>0.14098238161567289</c:v>
                </c:pt>
                <c:pt idx="2">
                  <c:v>0.20982903429499031</c:v>
                </c:pt>
                <c:pt idx="3">
                  <c:v>0.318323777869645</c:v>
                </c:pt>
                <c:pt idx="4">
                  <c:v>0.436574649316393</c:v>
                </c:pt>
                <c:pt idx="5">
                  <c:v>0.55286069164935303</c:v>
                </c:pt>
                <c:pt idx="6">
                  <c:v>0.61894730029307099</c:v>
                </c:pt>
                <c:pt idx="7">
                  <c:v>0.78177348397166702</c:v>
                </c:pt>
                <c:pt idx="8">
                  <c:v>0.84796194912357503</c:v>
                </c:pt>
                <c:pt idx="9">
                  <c:v>0.88833843274946589</c:v>
                </c:pt>
                <c:pt idx="10">
                  <c:v>0.98746196958744603</c:v>
                </c:pt>
                <c:pt idx="11">
                  <c:v>1.0562985231701021</c:v>
                </c:pt>
                <c:pt idx="12">
                  <c:v>1.0928628190564531</c:v>
                </c:pt>
                <c:pt idx="13">
                  <c:v>1.1437754898759489</c:v>
                </c:pt>
                <c:pt idx="14">
                  <c:v>1.1985521437847879</c:v>
                </c:pt>
                <c:pt idx="15">
                  <c:v>1.2339847194936751</c:v>
                </c:pt>
                <c:pt idx="16">
                  <c:v>1.2778564570943569</c:v>
                </c:pt>
                <c:pt idx="17">
                  <c:v>1.3093638894302511</c:v>
                </c:pt>
                <c:pt idx="18">
                  <c:v>1.324905620638021</c:v>
                </c:pt>
                <c:pt idx="19">
                  <c:v>1.321100238534592</c:v>
                </c:pt>
                <c:pt idx="20">
                  <c:v>1.3626339814632211</c:v>
                </c:pt>
                <c:pt idx="21">
                  <c:v>1.398739430238559</c:v>
                </c:pt>
                <c:pt idx="22">
                  <c:v>1.3873365198822549</c:v>
                </c:pt>
                <c:pt idx="23">
                  <c:v>1.4150076510072551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9ECF-4907-988A-32E74117E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521984"/>
        <c:axId val="202532352"/>
      </c:scatterChart>
      <c:valAx>
        <c:axId val="20252198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-25000"/>
                  <a:t>10</a:t>
                </a:r>
                <a:r>
                  <a:rPr lang="en-US"/>
                  <a:t> R_0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32352"/>
        <c:crosses val="autoZero"/>
        <c:crossBetween val="midCat"/>
        <c:minorUnit val="0.1"/>
      </c:valAx>
      <c:valAx>
        <c:axId val="20253235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</a:t>
                </a:r>
                <a:r>
                  <a:rPr lang="en-US" baseline="0"/>
                  <a:t> log</a:t>
                </a:r>
                <a:r>
                  <a:rPr lang="en-US" baseline="-25000"/>
                  <a:t>10</a:t>
                </a:r>
                <a:r>
                  <a:rPr lang="en-US" baseline="0"/>
                  <a:t> R_0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2198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MOM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128'!$L$37:$L$59</c:f>
              <c:numCache>
                <c:formatCode>0.0000</c:formatCode>
                <c:ptCount val="23"/>
                <c:pt idx="0">
                  <c:v>5.7039120148033501E-2</c:v>
                </c:pt>
                <c:pt idx="1">
                  <c:v>0.10228132502597199</c:v>
                </c:pt>
                <c:pt idx="2">
                  <c:v>0.151166086197837</c:v>
                </c:pt>
                <c:pt idx="3">
                  <c:v>0.19806399848210399</c:v>
                </c:pt>
                <c:pt idx="4">
                  <c:v>0.24914272191466</c:v>
                </c:pt>
                <c:pt idx="5">
                  <c:v>0.30320186862591603</c:v>
                </c:pt>
                <c:pt idx="6">
                  <c:v>0.34972739669106701</c:v>
                </c:pt>
                <c:pt idx="7">
                  <c:v>0.40796795433983302</c:v>
                </c:pt>
                <c:pt idx="8">
                  <c:v>0.44335885009742199</c:v>
                </c:pt>
                <c:pt idx="9">
                  <c:v>0.50180682101389795</c:v>
                </c:pt>
                <c:pt idx="10">
                  <c:v>0.58662583100612897</c:v>
                </c:pt>
                <c:pt idx="11">
                  <c:v>0.62297025799542205</c:v>
                </c:pt>
                <c:pt idx="12">
                  <c:v>0.67136280536457704</c:v>
                </c:pt>
                <c:pt idx="13">
                  <c:v>0.73258813476392703</c:v>
                </c:pt>
                <c:pt idx="14">
                  <c:v>0.77431556013877101</c:v>
                </c:pt>
                <c:pt idx="15">
                  <c:v>0.835541939169265</c:v>
                </c:pt>
                <c:pt idx="16">
                  <c:v>0.84779522360724302</c:v>
                </c:pt>
                <c:pt idx="17">
                  <c:v>0.88314892520425103</c:v>
                </c:pt>
                <c:pt idx="18">
                  <c:v>0.92641252829644605</c:v>
                </c:pt>
                <c:pt idx="19">
                  <c:v>0.96366909383228005</c:v>
                </c:pt>
                <c:pt idx="20">
                  <c:v>0.97203116597077299</c:v>
                </c:pt>
                <c:pt idx="21">
                  <c:v>1.01177519124606</c:v>
                </c:pt>
                <c:pt idx="22">
                  <c:v>1.00837874185349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7C-4232-B206-06721CBD863D}"/>
            </c:ext>
          </c:extLst>
        </c:ser>
        <c:ser>
          <c:idx val="11"/>
          <c:order val="1"/>
          <c:tx>
            <c:v>MLE_EM -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128'!$A$37:$A$59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128'!$J$37:$J$60</c:f>
              <c:numCache>
                <c:formatCode>0.0000</c:formatCode>
                <c:ptCount val="24"/>
                <c:pt idx="0">
                  <c:v>4.4618844854396822E-2</c:v>
                </c:pt>
                <c:pt idx="1">
                  <c:v>7.8904885938764907E-2</c:v>
                </c:pt>
                <c:pt idx="2">
                  <c:v>0.10974791586303451</c:v>
                </c:pt>
                <c:pt idx="3">
                  <c:v>0.1354550656744169</c:v>
                </c:pt>
                <c:pt idx="4">
                  <c:v>0.15533976357547419</c:v>
                </c:pt>
                <c:pt idx="5">
                  <c:v>0.16270795359861098</c:v>
                </c:pt>
                <c:pt idx="6">
                  <c:v>0.16592025890340403</c:v>
                </c:pt>
                <c:pt idx="7">
                  <c:v>0.18485291733202502</c:v>
                </c:pt>
                <c:pt idx="8">
                  <c:v>0.20750330042829698</c:v>
                </c:pt>
                <c:pt idx="9">
                  <c:v>0.205420920565065</c:v>
                </c:pt>
                <c:pt idx="10">
                  <c:v>0.215809557099918</c:v>
                </c:pt>
                <c:pt idx="11">
                  <c:v>0.21240639737333106</c:v>
                </c:pt>
                <c:pt idx="12">
                  <c:v>0.21935600143411804</c:v>
                </c:pt>
                <c:pt idx="13">
                  <c:v>0.26197839871885997</c:v>
                </c:pt>
                <c:pt idx="14">
                  <c:v>0.25829677776367799</c:v>
                </c:pt>
                <c:pt idx="15">
                  <c:v>0.31949886197067201</c:v>
                </c:pt>
                <c:pt idx="16">
                  <c:v>0.29699422565264</c:v>
                </c:pt>
                <c:pt idx="17">
                  <c:v>0.32416974801083809</c:v>
                </c:pt>
                <c:pt idx="18">
                  <c:v>0.3623567071907271</c:v>
                </c:pt>
                <c:pt idx="19">
                  <c:v>0.39725420066158701</c:v>
                </c:pt>
                <c:pt idx="20">
                  <c:v>0.41590298937698911</c:v>
                </c:pt>
                <c:pt idx="21">
                  <c:v>0.45763048433414699</c:v>
                </c:pt>
                <c:pt idx="22">
                  <c:v>0.45752950436541806</c:v>
                </c:pt>
                <c:pt idx="23">
                  <c:v>0.50523344279090088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7C-4232-B206-06721CBD863D}"/>
            </c:ext>
          </c:extLst>
        </c:ser>
        <c:ser>
          <c:idx val="5"/>
          <c:order val="2"/>
          <c:tx>
            <c:v>Identity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7C-4232-B206-06721CBD863D}"/>
            </c:ext>
          </c:extLst>
        </c:ser>
        <c:ser>
          <c:idx val="1"/>
          <c:order val="3"/>
          <c:tx>
            <c:v>MLE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128'!$B$37:$B$60</c:f>
              <c:numCache>
                <c:formatCode>0.0000</c:formatCode>
                <c:ptCount val="24"/>
                <c:pt idx="0">
                  <c:v>5.3245972069676302E-2</c:v>
                </c:pt>
                <c:pt idx="1">
                  <c:v>0.100036296362148</c:v>
                </c:pt>
                <c:pt idx="2">
                  <c:v>0.148871497807469</c:v>
                </c:pt>
                <c:pt idx="3">
                  <c:v>0.20417052793252199</c:v>
                </c:pt>
                <c:pt idx="4">
                  <c:v>0.26449721516163899</c:v>
                </c:pt>
                <c:pt idx="5">
                  <c:v>0.32780741002031399</c:v>
                </c:pt>
                <c:pt idx="6">
                  <c:v>0.38281921693747201</c:v>
                </c:pt>
                <c:pt idx="7">
                  <c:v>0.44527007205201202</c:v>
                </c:pt>
                <c:pt idx="8">
                  <c:v>0.48807373648116098</c:v>
                </c:pt>
                <c:pt idx="9">
                  <c:v>0.54080653351579999</c:v>
                </c:pt>
                <c:pt idx="10">
                  <c:v>0.60613633824116697</c:v>
                </c:pt>
                <c:pt idx="11">
                  <c:v>0.64125384706912503</c:v>
                </c:pt>
                <c:pt idx="12">
                  <c:v>0.66649696555106996</c:v>
                </c:pt>
                <c:pt idx="13">
                  <c:v>0.68478641029022502</c:v>
                </c:pt>
                <c:pt idx="14">
                  <c:v>0.71583365902260698</c:v>
                </c:pt>
                <c:pt idx="15">
                  <c:v>0.75442908908772399</c:v>
                </c:pt>
                <c:pt idx="16">
                  <c:v>0.76731922497760396</c:v>
                </c:pt>
                <c:pt idx="17">
                  <c:v>0.76827276835952596</c:v>
                </c:pt>
                <c:pt idx="18">
                  <c:v>0.77836348603890604</c:v>
                </c:pt>
                <c:pt idx="19">
                  <c:v>0.79650300533156304</c:v>
                </c:pt>
                <c:pt idx="20">
                  <c:v>0.82885241111354901</c:v>
                </c:pt>
                <c:pt idx="21">
                  <c:v>0.859334998656058</c:v>
                </c:pt>
                <c:pt idx="22">
                  <c:v>0.869819487024863</c:v>
                </c:pt>
                <c:pt idx="23">
                  <c:v>0.86713556354552701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067C-4232-B206-06721CBD863D}"/>
            </c:ext>
          </c:extLst>
        </c:ser>
        <c:ser>
          <c:idx val="4"/>
          <c:order val="4"/>
          <c:tx>
            <c:v>MLE -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128'!$C$37:$C$60</c:f>
              <c:numCache>
                <c:formatCode>0.0000</c:formatCode>
                <c:ptCount val="24"/>
                <c:pt idx="0">
                  <c:v>5.3243010984496381E-2</c:v>
                </c:pt>
                <c:pt idx="1">
                  <c:v>0.10002134725919208</c:v>
                </c:pt>
                <c:pt idx="2">
                  <c:v>0.14883458860715337</c:v>
                </c:pt>
                <c:pt idx="3">
                  <c:v>0.19345408346275839</c:v>
                </c:pt>
                <c:pt idx="4">
                  <c:v>0.19715198403667</c:v>
                </c:pt>
                <c:pt idx="5">
                  <c:v>6.9569134875570982E-2</c:v>
                </c:pt>
                <c:pt idx="6">
                  <c:v>-7.733610244961997E-3</c:v>
                </c:pt>
                <c:pt idx="7">
                  <c:v>-0.29721180421640098</c:v>
                </c:pt>
                <c:pt idx="8">
                  <c:v>-0.41900606888275699</c:v>
                </c:pt>
                <c:pt idx="9">
                  <c:v>-0.81760599598406991</c:v>
                </c:pt>
                <c:pt idx="10">
                  <c:v>-1.5275874329339332</c:v>
                </c:pt>
                <c:pt idx="11">
                  <c:v>-1.9864549161312652</c:v>
                </c:pt>
                <c:pt idx="12">
                  <c:v>-2.25843949562669</c:v>
                </c:pt>
                <c:pt idx="13">
                  <c:v>-2.3347103340132449</c:v>
                </c:pt>
                <c:pt idx="14">
                  <c:v>-2.7789312842100728</c:v>
                </c:pt>
                <c:pt idx="15">
                  <c:v>-3.3788406423648265</c:v>
                </c:pt>
                <c:pt idx="16">
                  <c:v>-3.6424394049730262</c:v>
                </c:pt>
                <c:pt idx="17">
                  <c:v>-3.6122185646580141</c:v>
                </c:pt>
                <c:pt idx="18">
                  <c:v>-4.0185020514072241</c:v>
                </c:pt>
                <c:pt idx="19">
                  <c:v>-4.4594002358352967</c:v>
                </c:pt>
                <c:pt idx="20">
                  <c:v>-4.9840171181201809</c:v>
                </c:pt>
                <c:pt idx="21">
                  <c:v>-5.5904957036958125</c:v>
                </c:pt>
                <c:pt idx="22">
                  <c:v>-5.2828782450255272</c:v>
                </c:pt>
                <c:pt idx="23">
                  <c:v>-5.2486910084138829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067C-4232-B206-06721CBD863D}"/>
            </c:ext>
          </c:extLst>
        </c:ser>
        <c:ser>
          <c:idx val="6"/>
          <c:order val="5"/>
          <c:tx>
            <c:v>MLE +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128'!$D$37:$D$60</c:f>
              <c:numCache>
                <c:formatCode>0.0000</c:formatCode>
                <c:ptCount val="24"/>
                <c:pt idx="0">
                  <c:v>5.3248933154856223E-2</c:v>
                </c:pt>
                <c:pt idx="1">
                  <c:v>0.10005124546510392</c:v>
                </c:pt>
                <c:pt idx="2">
                  <c:v>0.14890840700778463</c:v>
                </c:pt>
                <c:pt idx="3">
                  <c:v>0.2148869724022856</c:v>
                </c:pt>
                <c:pt idx="4">
                  <c:v>0.33184244628660797</c:v>
                </c:pt>
                <c:pt idx="5">
                  <c:v>0.58604568516505706</c:v>
                </c:pt>
                <c:pt idx="6">
                  <c:v>0.77337204411990601</c:v>
                </c:pt>
                <c:pt idx="7">
                  <c:v>1.1877519483204251</c:v>
                </c:pt>
                <c:pt idx="8">
                  <c:v>1.3951535418450789</c:v>
                </c:pt>
                <c:pt idx="9">
                  <c:v>1.89921906301567</c:v>
                </c:pt>
                <c:pt idx="10">
                  <c:v>2.7398601094162669</c:v>
                </c:pt>
                <c:pt idx="11">
                  <c:v>3.2689626102695151</c:v>
                </c:pt>
                <c:pt idx="12">
                  <c:v>3.5914334267288304</c:v>
                </c:pt>
                <c:pt idx="13">
                  <c:v>3.7042831545936954</c:v>
                </c:pt>
                <c:pt idx="14">
                  <c:v>4.2105986022552866</c:v>
                </c:pt>
                <c:pt idx="15">
                  <c:v>4.8876988205402743</c:v>
                </c:pt>
                <c:pt idx="16">
                  <c:v>5.1770778549282346</c:v>
                </c:pt>
                <c:pt idx="17">
                  <c:v>5.1487641013770657</c:v>
                </c:pt>
                <c:pt idx="18">
                  <c:v>5.5752290234850355</c:v>
                </c:pt>
                <c:pt idx="19">
                  <c:v>6.052406246498423</c:v>
                </c:pt>
                <c:pt idx="20">
                  <c:v>6.6417219403472787</c:v>
                </c:pt>
                <c:pt idx="21">
                  <c:v>7.3091657010079283</c:v>
                </c:pt>
                <c:pt idx="22">
                  <c:v>7.0225172190752527</c:v>
                </c:pt>
                <c:pt idx="23">
                  <c:v>6.9829621355049367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067C-4232-B206-06721CBD863D}"/>
            </c:ext>
          </c:extLst>
        </c:ser>
        <c:ser>
          <c:idx val="7"/>
          <c:order val="6"/>
          <c:tx>
            <c:v>MLE -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128'!$E$37:$E$60</c:f>
              <c:numCache>
                <c:formatCode>0.0000</c:formatCode>
                <c:ptCount val="24"/>
                <c:pt idx="0">
                  <c:v>4.4618904372060383E-2</c:v>
                </c:pt>
                <c:pt idx="1">
                  <c:v>7.8530532967675398E-2</c:v>
                </c:pt>
                <c:pt idx="2">
                  <c:v>0.1087046335350845</c:v>
                </c:pt>
                <c:pt idx="3">
                  <c:v>0.1277163838803819</c:v>
                </c:pt>
                <c:pt idx="4">
                  <c:v>0.15336210619053897</c:v>
                </c:pt>
                <c:pt idx="5">
                  <c:v>0.16851829324214398</c:v>
                </c:pt>
                <c:pt idx="6">
                  <c:v>0.21010125709133201</c:v>
                </c:pt>
                <c:pt idx="7">
                  <c:v>0.24402061102406503</c:v>
                </c:pt>
                <c:pt idx="8">
                  <c:v>0.28665307871714696</c:v>
                </c:pt>
                <c:pt idx="9">
                  <c:v>0.32919593120791502</c:v>
                </c:pt>
                <c:pt idx="10">
                  <c:v>0.37513206799019594</c:v>
                </c:pt>
                <c:pt idx="11">
                  <c:v>0.40530416383064105</c:v>
                </c:pt>
                <c:pt idx="12">
                  <c:v>0.42238169109263596</c:v>
                </c:pt>
                <c:pt idx="13">
                  <c:v>0.45095316927114104</c:v>
                </c:pt>
                <c:pt idx="14">
                  <c:v>0.48007056743801302</c:v>
                </c:pt>
                <c:pt idx="15">
                  <c:v>0.521714188745379</c:v>
                </c:pt>
                <c:pt idx="16">
                  <c:v>0.53797924123295993</c:v>
                </c:pt>
                <c:pt idx="17">
                  <c:v>0.54592310968350699</c:v>
                </c:pt>
                <c:pt idx="18">
                  <c:v>0.544252345373339</c:v>
                </c:pt>
                <c:pt idx="19">
                  <c:v>0.55984665988580706</c:v>
                </c:pt>
                <c:pt idx="20">
                  <c:v>0.59223442667047799</c:v>
                </c:pt>
                <c:pt idx="21">
                  <c:v>0.63290052963156995</c:v>
                </c:pt>
                <c:pt idx="22">
                  <c:v>0.66960023019041703</c:v>
                </c:pt>
                <c:pt idx="23">
                  <c:v>0.67776712036837505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067C-4232-B206-06721CBD863D}"/>
            </c:ext>
          </c:extLst>
        </c:ser>
        <c:ser>
          <c:idx val="8"/>
          <c:order val="7"/>
          <c:tx>
            <c:v>MLE +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128'!$F$37:$F$60</c:f>
              <c:numCache>
                <c:formatCode>0.0000</c:formatCode>
                <c:ptCount val="24"/>
                <c:pt idx="0">
                  <c:v>6.1873039767292221E-2</c:v>
                </c:pt>
                <c:pt idx="1">
                  <c:v>0.12154205975662061</c:v>
                </c:pt>
                <c:pt idx="2">
                  <c:v>0.1890383620798535</c:v>
                </c:pt>
                <c:pt idx="3">
                  <c:v>0.28062467198466212</c:v>
                </c:pt>
                <c:pt idx="4">
                  <c:v>0.375632324132739</c:v>
                </c:pt>
                <c:pt idx="5">
                  <c:v>0.48709652679848403</c:v>
                </c:pt>
                <c:pt idx="6">
                  <c:v>0.55553717678361203</c:v>
                </c:pt>
                <c:pt idx="7">
                  <c:v>0.64651953307995902</c:v>
                </c:pt>
                <c:pt idx="8">
                  <c:v>0.689494394245175</c:v>
                </c:pt>
                <c:pt idx="9">
                  <c:v>0.75241713582368497</c:v>
                </c:pt>
                <c:pt idx="10">
                  <c:v>0.83714060849213801</c:v>
                </c:pt>
                <c:pt idx="11">
                  <c:v>0.877203530307609</c:v>
                </c:pt>
                <c:pt idx="12">
                  <c:v>0.91061224000950403</c:v>
                </c:pt>
                <c:pt idx="13">
                  <c:v>0.918619651309309</c:v>
                </c:pt>
                <c:pt idx="14">
                  <c:v>0.95159675060720095</c:v>
                </c:pt>
                <c:pt idx="15">
                  <c:v>0.98714398943006898</c:v>
                </c:pt>
                <c:pt idx="16">
                  <c:v>0.996659208722248</c:v>
                </c:pt>
                <c:pt idx="17">
                  <c:v>0.99062242703554493</c:v>
                </c:pt>
                <c:pt idx="18">
                  <c:v>1.0124746267044731</c:v>
                </c:pt>
                <c:pt idx="19">
                  <c:v>1.0331593507773191</c:v>
                </c:pt>
                <c:pt idx="20">
                  <c:v>1.06547039555662</c:v>
                </c:pt>
                <c:pt idx="21">
                  <c:v>1.0857694676805461</c:v>
                </c:pt>
                <c:pt idx="22">
                  <c:v>1.0700387438593091</c:v>
                </c:pt>
                <c:pt idx="23">
                  <c:v>1.056504006722679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067C-4232-B206-06721CBD863D}"/>
            </c:ext>
          </c:extLst>
        </c:ser>
        <c:ser>
          <c:idx val="2"/>
          <c:order val="8"/>
          <c:tx>
            <c:v>MLE_EM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128'!$G$37:$G$60</c:f>
              <c:numCache>
                <c:formatCode>0.0000</c:formatCode>
                <c:ptCount val="24"/>
                <c:pt idx="0">
                  <c:v>5.3273229351210101E-2</c:v>
                </c:pt>
                <c:pt idx="1">
                  <c:v>9.9791429475612203E-2</c:v>
                </c:pt>
                <c:pt idx="2">
                  <c:v>0.147432922851889</c:v>
                </c:pt>
                <c:pt idx="3">
                  <c:v>0.196858659379226</c:v>
                </c:pt>
                <c:pt idx="4">
                  <c:v>0.249120357870659</c:v>
                </c:pt>
                <c:pt idx="5">
                  <c:v>0.30521604524128898</c:v>
                </c:pt>
                <c:pt idx="6">
                  <c:v>0.35660231635164302</c:v>
                </c:pt>
                <c:pt idx="7">
                  <c:v>0.41722153526574202</c:v>
                </c:pt>
                <c:pt idx="8">
                  <c:v>0.45721806887091898</c:v>
                </c:pt>
                <c:pt idx="9">
                  <c:v>0.52238768592686502</c:v>
                </c:pt>
                <c:pt idx="10">
                  <c:v>0.61936313608988802</c:v>
                </c:pt>
                <c:pt idx="11">
                  <c:v>0.66799612382529405</c:v>
                </c:pt>
                <c:pt idx="12">
                  <c:v>0.73091780086580305</c:v>
                </c:pt>
                <c:pt idx="13">
                  <c:v>0.80110483525412202</c:v>
                </c:pt>
                <c:pt idx="14">
                  <c:v>0.87707519038876602</c:v>
                </c:pt>
                <c:pt idx="15">
                  <c:v>0.94328090625983796</c:v>
                </c:pt>
                <c:pt idx="16">
                  <c:v>0.99468788510103801</c:v>
                </c:pt>
                <c:pt idx="17">
                  <c:v>1.0496311481749301</c:v>
                </c:pt>
                <c:pt idx="18">
                  <c:v>1.1133444966595401</c:v>
                </c:pt>
                <c:pt idx="19">
                  <c:v>1.18988323453573</c:v>
                </c:pt>
                <c:pt idx="20">
                  <c:v>1.1851682338646901</c:v>
                </c:pt>
                <c:pt idx="21">
                  <c:v>1.25411026508918</c:v>
                </c:pt>
                <c:pt idx="22">
                  <c:v>1.24652682252845</c:v>
                </c:pt>
                <c:pt idx="23">
                  <c:v>1.3384625391373699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067C-4232-B206-06721CBD863D}"/>
            </c:ext>
          </c:extLst>
        </c:ser>
        <c:ser>
          <c:idx val="9"/>
          <c:order val="9"/>
          <c:tx>
            <c:v>MLE_EM -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128'!$H$37:$H$59</c:f>
              <c:numCache>
                <c:formatCode>0.0000</c:formatCode>
                <c:ptCount val="23"/>
                <c:pt idx="0">
                  <c:v>4.6150837587721254E-2</c:v>
                </c:pt>
                <c:pt idx="1">
                  <c:v>8.1418030643115799E-2</c:v>
                </c:pt>
                <c:pt idx="2">
                  <c:v>0.11418911598831469</c:v>
                </c:pt>
                <c:pt idx="3">
                  <c:v>0.14503079835438432</c:v>
                </c:pt>
                <c:pt idx="4">
                  <c:v>0.17443505409291959</c:v>
                </c:pt>
                <c:pt idx="5">
                  <c:v>0.20171844839246297</c:v>
                </c:pt>
                <c:pt idx="6">
                  <c:v>0.22414473079495104</c:v>
                </c:pt>
                <c:pt idx="7">
                  <c:v>0.24776756190643101</c:v>
                </c:pt>
                <c:pt idx="8">
                  <c:v>0.26396393505197602</c:v>
                </c:pt>
                <c:pt idx="9">
                  <c:v>0.28187706553524905</c:v>
                </c:pt>
                <c:pt idx="10">
                  <c:v>0.30314470037894503</c:v>
                </c:pt>
                <c:pt idx="11">
                  <c:v>0.31014117134801106</c:v>
                </c:pt>
                <c:pt idx="12">
                  <c:v>0.31776695561858104</c:v>
                </c:pt>
                <c:pt idx="13">
                  <c:v>0.33022616132812804</c:v>
                </c:pt>
                <c:pt idx="14">
                  <c:v>0.33077140338277</c:v>
                </c:pt>
                <c:pt idx="15">
                  <c:v>0.34252727567572294</c:v>
                </c:pt>
                <c:pt idx="16">
                  <c:v>0.33403111361906901</c:v>
                </c:pt>
                <c:pt idx="17">
                  <c:v>0.33530264875838312</c:v>
                </c:pt>
                <c:pt idx="18">
                  <c:v>0.33630976785623601</c:v>
                </c:pt>
                <c:pt idx="19">
                  <c:v>0.33314259299383697</c:v>
                </c:pt>
                <c:pt idx="20">
                  <c:v>0.33927227481830502</c:v>
                </c:pt>
                <c:pt idx="21">
                  <c:v>0.33655036172167097</c:v>
                </c:pt>
                <c:pt idx="22">
                  <c:v>0.33855619777736201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067C-4232-B206-06721CBD863D}"/>
            </c:ext>
          </c:extLst>
        </c:ser>
        <c:ser>
          <c:idx val="0"/>
          <c:order val="1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067C-4232-B206-06721CBD863D}"/>
            </c:ext>
          </c:extLst>
        </c:ser>
        <c:ser>
          <c:idx val="10"/>
          <c:order val="11"/>
          <c:tx>
            <c:v>MLE_EM +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128'!$A$37:$A$59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128'!$I$37:$I$60</c:f>
              <c:numCache>
                <c:formatCode>0.0000</c:formatCode>
                <c:ptCount val="24"/>
                <c:pt idx="0">
                  <c:v>6.0395621114698948E-2</c:v>
                </c:pt>
                <c:pt idx="1">
                  <c:v>0.11816482830810861</c:v>
                </c:pt>
                <c:pt idx="2">
                  <c:v>0.18067672971546331</c:v>
                </c:pt>
                <c:pt idx="3">
                  <c:v>0.24868652040406769</c:v>
                </c:pt>
                <c:pt idx="4">
                  <c:v>0.32380566164839841</c:v>
                </c:pt>
                <c:pt idx="5">
                  <c:v>0.40871364209011496</c:v>
                </c:pt>
                <c:pt idx="6">
                  <c:v>0.48905990190833504</c:v>
                </c:pt>
                <c:pt idx="7">
                  <c:v>0.58667550862505302</c:v>
                </c:pt>
                <c:pt idx="8">
                  <c:v>0.65047220268986194</c:v>
                </c:pt>
                <c:pt idx="9">
                  <c:v>0.76289830631848099</c:v>
                </c:pt>
                <c:pt idx="10">
                  <c:v>0.93558157180083101</c:v>
                </c:pt>
                <c:pt idx="11">
                  <c:v>1.025851076302577</c:v>
                </c:pt>
                <c:pt idx="12">
                  <c:v>1.1440686461130252</c:v>
                </c:pt>
                <c:pt idx="13">
                  <c:v>1.2719835091801159</c:v>
                </c:pt>
                <c:pt idx="14">
                  <c:v>1.423378977394762</c:v>
                </c:pt>
                <c:pt idx="15">
                  <c:v>1.544034536843953</c:v>
                </c:pt>
                <c:pt idx="16">
                  <c:v>1.655344656583007</c:v>
                </c:pt>
                <c:pt idx="17">
                  <c:v>1.7639596475914772</c:v>
                </c:pt>
                <c:pt idx="18">
                  <c:v>1.8903792254628442</c:v>
                </c:pt>
                <c:pt idx="19">
                  <c:v>2.0466238760776232</c:v>
                </c:pt>
                <c:pt idx="20">
                  <c:v>2.0310641929110753</c:v>
                </c:pt>
                <c:pt idx="21">
                  <c:v>2.1716701684566893</c:v>
                </c:pt>
                <c:pt idx="22">
                  <c:v>2.154497447279538</c:v>
                </c:pt>
                <c:pt idx="23">
                  <c:v>2.3467974442515001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067C-4232-B206-06721CBD863D}"/>
            </c:ext>
          </c:extLst>
        </c:ser>
        <c:ser>
          <c:idx val="12"/>
          <c:order val="12"/>
          <c:tx>
            <c:v>MLE_EM +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128'!$K$37:$K$60</c:f>
              <c:numCache>
                <c:formatCode>0.0000</c:formatCode>
                <c:ptCount val="24"/>
                <c:pt idx="0">
                  <c:v>6.192761384802338E-2</c:v>
                </c:pt>
                <c:pt idx="1">
                  <c:v>0.1206779730124595</c:v>
                </c:pt>
                <c:pt idx="2">
                  <c:v>0.18511792984074349</c:v>
                </c:pt>
                <c:pt idx="3">
                  <c:v>0.25826225308403511</c:v>
                </c:pt>
                <c:pt idx="4">
                  <c:v>0.34290095216584382</c:v>
                </c:pt>
                <c:pt idx="5">
                  <c:v>0.44772413688396695</c:v>
                </c:pt>
                <c:pt idx="6">
                  <c:v>0.54728437379988204</c:v>
                </c:pt>
                <c:pt idx="7">
                  <c:v>0.64959015319945901</c:v>
                </c:pt>
                <c:pt idx="8">
                  <c:v>0.70693283731354095</c:v>
                </c:pt>
                <c:pt idx="9">
                  <c:v>0.83935445128866504</c:v>
                </c:pt>
                <c:pt idx="10">
                  <c:v>1.0229167150798579</c:v>
                </c:pt>
                <c:pt idx="11">
                  <c:v>1.1235858502772571</c:v>
                </c:pt>
                <c:pt idx="12">
                  <c:v>1.2424796002974881</c:v>
                </c:pt>
                <c:pt idx="13">
                  <c:v>1.3402312717893841</c:v>
                </c:pt>
                <c:pt idx="14">
                  <c:v>1.4958536030138541</c:v>
                </c:pt>
                <c:pt idx="15">
                  <c:v>1.5670629505490039</c:v>
                </c:pt>
                <c:pt idx="16">
                  <c:v>1.6923815445494359</c:v>
                </c:pt>
                <c:pt idx="17">
                  <c:v>1.7750925483390221</c:v>
                </c:pt>
                <c:pt idx="18">
                  <c:v>1.8643322861283531</c:v>
                </c:pt>
                <c:pt idx="19">
                  <c:v>1.9825122684098728</c:v>
                </c:pt>
                <c:pt idx="20">
                  <c:v>1.9544334783523909</c:v>
                </c:pt>
                <c:pt idx="21">
                  <c:v>2.050590045844213</c:v>
                </c:pt>
                <c:pt idx="22">
                  <c:v>2.0355241406914821</c:v>
                </c:pt>
                <c:pt idx="23">
                  <c:v>2.1716916354838389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067C-4232-B206-06721CBD863D}"/>
            </c:ext>
          </c:extLst>
        </c:ser>
        <c:ser>
          <c:idx val="13"/>
          <c:order val="13"/>
          <c:tx>
            <c:v>MOM -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128'!$M$37:$M$60</c:f>
              <c:numCache>
                <c:formatCode>0.0000</c:formatCode>
                <c:ptCount val="24"/>
                <c:pt idx="0">
                  <c:v>4.8872205086273254E-2</c:v>
                </c:pt>
                <c:pt idx="1">
                  <c:v>8.314718176007159E-2</c:v>
                </c:pt>
                <c:pt idx="2">
                  <c:v>0.1166597364811284</c:v>
                </c:pt>
                <c:pt idx="3">
                  <c:v>0.14592120172683348</c:v>
                </c:pt>
                <c:pt idx="4">
                  <c:v>0.17182167026496081</c:v>
                </c:pt>
                <c:pt idx="5">
                  <c:v>0.19383146416382202</c:v>
                </c:pt>
                <c:pt idx="6">
                  <c:v>0.213141278439402</c:v>
                </c:pt>
                <c:pt idx="7">
                  <c:v>0.21766166222397501</c:v>
                </c:pt>
                <c:pt idx="8">
                  <c:v>0.22921437811756998</c:v>
                </c:pt>
                <c:pt idx="9">
                  <c:v>0.22459001960783997</c:v>
                </c:pt>
                <c:pt idx="10">
                  <c:v>0.14486966463855999</c:v>
                </c:pt>
                <c:pt idx="11">
                  <c:v>0.12641258145496204</c:v>
                </c:pt>
                <c:pt idx="12">
                  <c:v>5.2788629274044041E-2</c:v>
                </c:pt>
                <c:pt idx="13">
                  <c:v>-3.911549426276395E-2</c:v>
                </c:pt>
                <c:pt idx="14">
                  <c:v>-9.8005362427046938E-2</c:v>
                </c:pt>
                <c:pt idx="15">
                  <c:v>-0.21199224261815497</c:v>
                </c:pt>
                <c:pt idx="16">
                  <c:v>-0.2283045061527369</c:v>
                </c:pt>
                <c:pt idx="17">
                  <c:v>-0.30511502281434888</c:v>
                </c:pt>
                <c:pt idx="18">
                  <c:v>-0.46394605290481394</c:v>
                </c:pt>
                <c:pt idx="19">
                  <c:v>-0.51425523845181997</c:v>
                </c:pt>
                <c:pt idx="20">
                  <c:v>-0.52719125586487703</c:v>
                </c:pt>
                <c:pt idx="21">
                  <c:v>-0.65772410603253006</c:v>
                </c:pt>
                <c:pt idx="22">
                  <c:v>-0.61210952062673996</c:v>
                </c:pt>
                <c:pt idx="23">
                  <c:v>-0.77176647614996008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067C-4232-B206-06721CBD863D}"/>
            </c:ext>
          </c:extLst>
        </c:ser>
        <c:ser>
          <c:idx val="14"/>
          <c:order val="14"/>
          <c:tx>
            <c:v>MOM +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128'!$N$37:$N$60</c:f>
              <c:numCache>
                <c:formatCode>0.0000</c:formatCode>
                <c:ptCount val="24"/>
                <c:pt idx="0">
                  <c:v>6.5206035209793747E-2</c:v>
                </c:pt>
                <c:pt idx="1">
                  <c:v>0.1214154682918724</c:v>
                </c:pt>
                <c:pt idx="2">
                  <c:v>0.1856724359145456</c:v>
                </c:pt>
                <c:pt idx="3">
                  <c:v>0.25020679523737449</c:v>
                </c:pt>
                <c:pt idx="4">
                  <c:v>0.32646377356435918</c:v>
                </c:pt>
                <c:pt idx="5">
                  <c:v>0.41257227308801003</c:v>
                </c:pt>
                <c:pt idx="6">
                  <c:v>0.48631351494273201</c:v>
                </c:pt>
                <c:pt idx="7">
                  <c:v>0.59827424645569105</c:v>
                </c:pt>
                <c:pt idx="8">
                  <c:v>0.65750332207727402</c:v>
                </c:pt>
                <c:pt idx="9">
                  <c:v>0.77902362241995593</c:v>
                </c:pt>
                <c:pt idx="10">
                  <c:v>1.0283819973736978</c:v>
                </c:pt>
                <c:pt idx="11">
                  <c:v>1.1195279345358822</c:v>
                </c:pt>
                <c:pt idx="12">
                  <c:v>1.28993698145511</c:v>
                </c:pt>
                <c:pt idx="13">
                  <c:v>1.5042917637906181</c:v>
                </c:pt>
                <c:pt idx="14">
                  <c:v>1.646636482704589</c:v>
                </c:pt>
                <c:pt idx="15">
                  <c:v>1.8830761209566851</c:v>
                </c:pt>
                <c:pt idx="16">
                  <c:v>1.9238949533672229</c:v>
                </c:pt>
                <c:pt idx="17">
                  <c:v>2.0714128732228509</c:v>
                </c:pt>
                <c:pt idx="18">
                  <c:v>2.3167711094977061</c:v>
                </c:pt>
                <c:pt idx="19">
                  <c:v>2.4415934261163801</c:v>
                </c:pt>
                <c:pt idx="20">
                  <c:v>2.471253587806423</c:v>
                </c:pt>
                <c:pt idx="21">
                  <c:v>2.6812744885246502</c:v>
                </c:pt>
                <c:pt idx="22">
                  <c:v>2.6288670043337197</c:v>
                </c:pt>
                <c:pt idx="23">
                  <c:v>2.8734785438999397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067C-4232-B206-06721CBD863D}"/>
            </c:ext>
          </c:extLst>
        </c:ser>
        <c:ser>
          <c:idx val="15"/>
          <c:order val="15"/>
          <c:tx>
            <c:v>MOM -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128'!$O$37:$O$60</c:f>
              <c:numCache>
                <c:formatCode>0.0000</c:formatCode>
                <c:ptCount val="24"/>
                <c:pt idx="0">
                  <c:v>3.6958276795194901E-2</c:v>
                </c:pt>
                <c:pt idx="1">
                  <c:v>7.8163256260620789E-2</c:v>
                </c:pt>
                <c:pt idx="2">
                  <c:v>0.1119894503779727</c:v>
                </c:pt>
                <c:pt idx="3">
                  <c:v>0.13826823006081768</c:v>
                </c:pt>
                <c:pt idx="4">
                  <c:v>0.15893326810825781</c:v>
                </c:pt>
                <c:pt idx="5">
                  <c:v>0.16552504627375603</c:v>
                </c:pt>
                <c:pt idx="6">
                  <c:v>0.197349907280644</c:v>
                </c:pt>
                <c:pt idx="7">
                  <c:v>0.20751997659702301</c:v>
                </c:pt>
                <c:pt idx="8">
                  <c:v>0.24814578293942499</c:v>
                </c:pt>
                <c:pt idx="9">
                  <c:v>0.26864712384750594</c:v>
                </c:pt>
                <c:pt idx="10">
                  <c:v>0.29593101355537499</c:v>
                </c:pt>
                <c:pt idx="11">
                  <c:v>0.32241205010371604</c:v>
                </c:pt>
                <c:pt idx="12">
                  <c:v>0.34364042895543406</c:v>
                </c:pt>
                <c:pt idx="13">
                  <c:v>0.38416423806503602</c:v>
                </c:pt>
                <c:pt idx="14">
                  <c:v>0.41885818516519702</c:v>
                </c:pt>
                <c:pt idx="15">
                  <c:v>0.47195525226632401</c:v>
                </c:pt>
                <c:pt idx="16">
                  <c:v>0.482925012240355</c:v>
                </c:pt>
                <c:pt idx="17">
                  <c:v>0.51546293378832497</c:v>
                </c:pt>
                <c:pt idx="18">
                  <c:v>0.54563311871406206</c:v>
                </c:pt>
                <c:pt idx="19">
                  <c:v>0.59336191105547709</c:v>
                </c:pt>
                <c:pt idx="20">
                  <c:v>0.60572863666069798</c:v>
                </c:pt>
                <c:pt idx="21">
                  <c:v>0.63980359826196298</c:v>
                </c:pt>
                <c:pt idx="22">
                  <c:v>0.64613669056161704</c:v>
                </c:pt>
                <c:pt idx="23">
                  <c:v>0.68495397425866988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067C-4232-B206-06721CBD863D}"/>
            </c:ext>
          </c:extLst>
        </c:ser>
        <c:ser>
          <c:idx val="16"/>
          <c:order val="16"/>
          <c:tx>
            <c:v>MOM +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128'!$P$37:$P$60</c:f>
              <c:numCache>
                <c:formatCode>0.0000</c:formatCode>
                <c:ptCount val="24"/>
                <c:pt idx="0">
                  <c:v>7.7119963500872107E-2</c:v>
                </c:pt>
                <c:pt idx="1">
                  <c:v>0.1263993937913232</c:v>
                </c:pt>
                <c:pt idx="2">
                  <c:v>0.1903427220177013</c:v>
                </c:pt>
                <c:pt idx="3">
                  <c:v>0.2578597669033903</c:v>
                </c:pt>
                <c:pt idx="4">
                  <c:v>0.33935217572106219</c:v>
                </c:pt>
                <c:pt idx="5">
                  <c:v>0.44087869097807603</c:v>
                </c:pt>
                <c:pt idx="6">
                  <c:v>0.50210488610149007</c:v>
                </c:pt>
                <c:pt idx="7">
                  <c:v>0.608415932082643</c:v>
                </c:pt>
                <c:pt idx="8">
                  <c:v>0.63857191725541895</c:v>
                </c:pt>
                <c:pt idx="9">
                  <c:v>0.73496651818029002</c:v>
                </c:pt>
                <c:pt idx="10">
                  <c:v>0.87732064845688296</c:v>
                </c:pt>
                <c:pt idx="11">
                  <c:v>0.92352846588712811</c:v>
                </c:pt>
                <c:pt idx="12">
                  <c:v>0.99908518177372008</c:v>
                </c:pt>
                <c:pt idx="13">
                  <c:v>1.081012031462818</c:v>
                </c:pt>
                <c:pt idx="14">
                  <c:v>1.1297729351123449</c:v>
                </c:pt>
                <c:pt idx="15">
                  <c:v>1.199128626072206</c:v>
                </c:pt>
                <c:pt idx="16">
                  <c:v>1.212665434974131</c:v>
                </c:pt>
                <c:pt idx="17">
                  <c:v>1.2508349166201771</c:v>
                </c:pt>
                <c:pt idx="18">
                  <c:v>1.3071919378788301</c:v>
                </c:pt>
                <c:pt idx="19">
                  <c:v>1.333976276609083</c:v>
                </c:pt>
                <c:pt idx="20">
                  <c:v>1.338333695280848</c:v>
                </c:pt>
                <c:pt idx="21">
                  <c:v>1.383746784230157</c:v>
                </c:pt>
                <c:pt idx="22">
                  <c:v>1.3706207931453629</c:v>
                </c:pt>
                <c:pt idx="23">
                  <c:v>1.41675809349131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067C-4232-B206-06721CBD8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92480"/>
        <c:axId val="202694656"/>
      </c:scatterChart>
      <c:valAx>
        <c:axId val="2026924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-25000"/>
                  <a:t>10</a:t>
                </a:r>
                <a:r>
                  <a:rPr lang="en-US"/>
                  <a:t> R_0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94656"/>
        <c:crosses val="autoZero"/>
        <c:crossBetween val="midCat"/>
        <c:minorUnit val="0.1"/>
      </c:valAx>
      <c:valAx>
        <c:axId val="20269465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</a:t>
                </a:r>
                <a:r>
                  <a:rPr lang="en-US" baseline="0"/>
                  <a:t> log</a:t>
                </a:r>
                <a:r>
                  <a:rPr lang="en-US" baseline="-25000"/>
                  <a:t>10</a:t>
                </a:r>
                <a:r>
                  <a:rPr lang="en-US" baseline="0"/>
                  <a:t> R_0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92480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MOM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256'!$L$37:$L$59</c:f>
              <c:numCache>
                <c:formatCode>0.0000</c:formatCode>
                <c:ptCount val="23"/>
                <c:pt idx="0">
                  <c:v>6.8173752455596301E-2</c:v>
                </c:pt>
                <c:pt idx="1">
                  <c:v>0.110394291316984</c:v>
                </c:pt>
                <c:pt idx="2">
                  <c:v>0.15509839128786901</c:v>
                </c:pt>
                <c:pt idx="3">
                  <c:v>0.19816719454607201</c:v>
                </c:pt>
                <c:pt idx="4">
                  <c:v>0.24735048161623299</c:v>
                </c:pt>
                <c:pt idx="5">
                  <c:v>0.29373394564248601</c:v>
                </c:pt>
                <c:pt idx="6">
                  <c:v>0.34569989101829401</c:v>
                </c:pt>
                <c:pt idx="7">
                  <c:v>0.39230449745691398</c:v>
                </c:pt>
                <c:pt idx="8">
                  <c:v>0.44200201883064999</c:v>
                </c:pt>
                <c:pt idx="9">
                  <c:v>0.49334019446933802</c:v>
                </c:pt>
                <c:pt idx="10">
                  <c:v>0.54746040430822096</c:v>
                </c:pt>
                <c:pt idx="11">
                  <c:v>0.59500735280571904</c:v>
                </c:pt>
                <c:pt idx="12">
                  <c:v>0.64524980762047901</c:v>
                </c:pt>
                <c:pt idx="13">
                  <c:v>0.69038871633241194</c:v>
                </c:pt>
                <c:pt idx="14">
                  <c:v>0.76318956842706098</c:v>
                </c:pt>
                <c:pt idx="15">
                  <c:v>0.80157158898516101</c:v>
                </c:pt>
                <c:pt idx="16">
                  <c:v>0.82823363786858295</c:v>
                </c:pt>
                <c:pt idx="17">
                  <c:v>0.886611995124993</c:v>
                </c:pt>
                <c:pt idx="18">
                  <c:v>0.92098921241840903</c:v>
                </c:pt>
                <c:pt idx="19">
                  <c:v>0.95813109395789797</c:v>
                </c:pt>
                <c:pt idx="20">
                  <c:v>1.0007150494436401</c:v>
                </c:pt>
                <c:pt idx="21">
                  <c:v>1.0340483698751199</c:v>
                </c:pt>
                <c:pt idx="22">
                  <c:v>1.05467793990876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8A8-4EED-97FC-E69C09873DE6}"/>
            </c:ext>
          </c:extLst>
        </c:ser>
        <c:ser>
          <c:idx val="11"/>
          <c:order val="1"/>
          <c:tx>
            <c:v>MLE_EM -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256'!$A$37:$A$59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256'!$J$37:$J$60</c:f>
              <c:numCache>
                <c:formatCode>0.0000</c:formatCode>
                <c:ptCount val="24"/>
                <c:pt idx="0">
                  <c:v>5.1272257516870548E-2</c:v>
                </c:pt>
                <c:pt idx="1">
                  <c:v>9.0763199623385998E-2</c:v>
                </c:pt>
                <c:pt idx="2">
                  <c:v>0.12587078947060801</c:v>
                </c:pt>
                <c:pt idx="3">
                  <c:v>0.15811261166332471</c:v>
                </c:pt>
                <c:pt idx="4">
                  <c:v>0.19134131957116762</c:v>
                </c:pt>
                <c:pt idx="5">
                  <c:v>0.2257752320133693</c:v>
                </c:pt>
                <c:pt idx="6">
                  <c:v>0.25553764994110961</c:v>
                </c:pt>
                <c:pt idx="7">
                  <c:v>0.27684069591141003</c:v>
                </c:pt>
                <c:pt idx="8">
                  <c:v>0.29801109008194498</c:v>
                </c:pt>
                <c:pt idx="9">
                  <c:v>0.32502948017991001</c:v>
                </c:pt>
                <c:pt idx="10">
                  <c:v>0.36473726046924704</c:v>
                </c:pt>
                <c:pt idx="11">
                  <c:v>0.38541661555524903</c:v>
                </c:pt>
                <c:pt idx="12">
                  <c:v>0.38748131705971095</c:v>
                </c:pt>
                <c:pt idx="13">
                  <c:v>0.38286205776995202</c:v>
                </c:pt>
                <c:pt idx="14">
                  <c:v>0.41733450979208303</c:v>
                </c:pt>
                <c:pt idx="15">
                  <c:v>0.39610608324313901</c:v>
                </c:pt>
                <c:pt idx="16">
                  <c:v>0.36259582549998493</c:v>
                </c:pt>
                <c:pt idx="17">
                  <c:v>0.39957738370264706</c:v>
                </c:pt>
                <c:pt idx="18">
                  <c:v>0.34708087627029693</c:v>
                </c:pt>
                <c:pt idx="19">
                  <c:v>0.45149942187442693</c:v>
                </c:pt>
                <c:pt idx="20">
                  <c:v>0.49919353540294009</c:v>
                </c:pt>
                <c:pt idx="21">
                  <c:v>0.46672748439167411</c:v>
                </c:pt>
                <c:pt idx="22">
                  <c:v>0.47230516666824496</c:v>
                </c:pt>
                <c:pt idx="23">
                  <c:v>0.35612219120387012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8A8-4EED-97FC-E69C09873DE6}"/>
            </c:ext>
          </c:extLst>
        </c:ser>
        <c:ser>
          <c:idx val="5"/>
          <c:order val="2"/>
          <c:tx>
            <c:v>Identity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8A8-4EED-97FC-E69C09873DE6}"/>
            </c:ext>
          </c:extLst>
        </c:ser>
        <c:ser>
          <c:idx val="1"/>
          <c:order val="3"/>
          <c:tx>
            <c:v>MLE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256'!$B$37:$B$60</c:f>
              <c:numCache>
                <c:formatCode>0.0000</c:formatCode>
                <c:ptCount val="24"/>
                <c:pt idx="0">
                  <c:v>5.8288408925496402E-2</c:v>
                </c:pt>
                <c:pt idx="1">
                  <c:v>0.105903246893125</c:v>
                </c:pt>
                <c:pt idx="2">
                  <c:v>0.155638864005856</c:v>
                </c:pt>
                <c:pt idx="3">
                  <c:v>0.20320078663319899</c:v>
                </c:pt>
                <c:pt idx="4">
                  <c:v>0.25845534290239802</c:v>
                </c:pt>
                <c:pt idx="5">
                  <c:v>0.31556913587406998</c:v>
                </c:pt>
                <c:pt idx="6">
                  <c:v>0.37256638820068699</c:v>
                </c:pt>
                <c:pt idx="7">
                  <c:v>0.42318483395920597</c:v>
                </c:pt>
                <c:pt idx="8">
                  <c:v>0.47654138250486</c:v>
                </c:pt>
                <c:pt idx="9">
                  <c:v>0.52416479441473895</c:v>
                </c:pt>
                <c:pt idx="10">
                  <c:v>0.57548849258791601</c:v>
                </c:pt>
                <c:pt idx="11">
                  <c:v>0.60430977875801795</c:v>
                </c:pt>
                <c:pt idx="12">
                  <c:v>0.64870893189161305</c:v>
                </c:pt>
                <c:pt idx="13">
                  <c:v>0.68232102472980205</c:v>
                </c:pt>
                <c:pt idx="14">
                  <c:v>0.70730297504648498</c:v>
                </c:pt>
                <c:pt idx="15">
                  <c:v>0.72655772815985598</c:v>
                </c:pt>
                <c:pt idx="16">
                  <c:v>0.74920258590203104</c:v>
                </c:pt>
                <c:pt idx="17">
                  <c:v>0.77484718354795101</c:v>
                </c:pt>
                <c:pt idx="18">
                  <c:v>0.75664213613069897</c:v>
                </c:pt>
                <c:pt idx="19">
                  <c:v>0.79737992762427901</c:v>
                </c:pt>
                <c:pt idx="20">
                  <c:v>0.84485228606418905</c:v>
                </c:pt>
                <c:pt idx="21">
                  <c:v>0.88733331779709501</c:v>
                </c:pt>
                <c:pt idx="22">
                  <c:v>0.89880343440433497</c:v>
                </c:pt>
                <c:pt idx="23">
                  <c:v>0.901080646254933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8A8-4EED-97FC-E69C09873DE6}"/>
            </c:ext>
          </c:extLst>
        </c:ser>
        <c:ser>
          <c:idx val="4"/>
          <c:order val="4"/>
          <c:tx>
            <c:v>MLE -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256'!$C$37:$C$60</c:f>
              <c:numCache>
                <c:formatCode>0.0000</c:formatCode>
                <c:ptCount val="24"/>
                <c:pt idx="0">
                  <c:v>5.8287445783926944E-2</c:v>
                </c:pt>
                <c:pt idx="1">
                  <c:v>0.10589774198158121</c:v>
                </c:pt>
                <c:pt idx="2">
                  <c:v>0.15562674430330498</c:v>
                </c:pt>
                <c:pt idx="3">
                  <c:v>0.20297596356806005</c:v>
                </c:pt>
                <c:pt idx="4">
                  <c:v>0.25486599221258449</c:v>
                </c:pt>
                <c:pt idx="5">
                  <c:v>0.30232920389176471</c:v>
                </c:pt>
                <c:pt idx="6">
                  <c:v>0.33775077862369368</c:v>
                </c:pt>
                <c:pt idx="7">
                  <c:v>0.35383976086086927</c:v>
                </c:pt>
                <c:pt idx="8">
                  <c:v>0.32349481338462599</c:v>
                </c:pt>
                <c:pt idx="9">
                  <c:v>0.31153603755729298</c:v>
                </c:pt>
                <c:pt idx="10">
                  <c:v>0.24365324676905503</c:v>
                </c:pt>
                <c:pt idx="11">
                  <c:v>0.23664398955411897</c:v>
                </c:pt>
                <c:pt idx="12">
                  <c:v>8.3225784176471085E-2</c:v>
                </c:pt>
                <c:pt idx="13">
                  <c:v>3.9233590217474079E-2</c:v>
                </c:pt>
                <c:pt idx="14">
                  <c:v>-7.6153334305525067E-2</c:v>
                </c:pt>
                <c:pt idx="15">
                  <c:v>-0.31153116055339403</c:v>
                </c:pt>
                <c:pt idx="16">
                  <c:v>-0.27341115437233898</c:v>
                </c:pt>
                <c:pt idx="17">
                  <c:v>-0.62566622714810893</c:v>
                </c:pt>
                <c:pt idx="18">
                  <c:v>-0.49273835791893106</c:v>
                </c:pt>
                <c:pt idx="19">
                  <c:v>-0.85607145065247092</c:v>
                </c:pt>
                <c:pt idx="20">
                  <c:v>-1.2172945993767308</c:v>
                </c:pt>
                <c:pt idx="21">
                  <c:v>-1.3628481181837648</c:v>
                </c:pt>
                <c:pt idx="22">
                  <c:v>-1.4655730404688649</c:v>
                </c:pt>
                <c:pt idx="23">
                  <c:v>-1.7179305236146272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98A8-4EED-97FC-E69C09873DE6}"/>
            </c:ext>
          </c:extLst>
        </c:ser>
        <c:ser>
          <c:idx val="6"/>
          <c:order val="5"/>
          <c:tx>
            <c:v>MLE +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256'!$D$37:$D$60</c:f>
              <c:numCache>
                <c:formatCode>0.0000</c:formatCode>
                <c:ptCount val="24"/>
                <c:pt idx="0">
                  <c:v>5.8289372067065859E-2</c:v>
                </c:pt>
                <c:pt idx="1">
                  <c:v>0.10590875180466879</c:v>
                </c:pt>
                <c:pt idx="2">
                  <c:v>0.15565098370840702</c:v>
                </c:pt>
                <c:pt idx="3">
                  <c:v>0.20342560969833792</c:v>
                </c:pt>
                <c:pt idx="4">
                  <c:v>0.26204469359221155</c:v>
                </c:pt>
                <c:pt idx="5">
                  <c:v>0.32880906785637526</c:v>
                </c:pt>
                <c:pt idx="6">
                  <c:v>0.4073819977776803</c:v>
                </c:pt>
                <c:pt idx="7">
                  <c:v>0.49252990705754268</c:v>
                </c:pt>
                <c:pt idx="8">
                  <c:v>0.62958795162509396</c:v>
                </c:pt>
                <c:pt idx="9">
                  <c:v>0.73679355127218493</c:v>
                </c:pt>
                <c:pt idx="10">
                  <c:v>0.90732373840677694</c:v>
                </c:pt>
                <c:pt idx="11">
                  <c:v>0.97197556796191686</c:v>
                </c:pt>
                <c:pt idx="12">
                  <c:v>1.2141920796067551</c:v>
                </c:pt>
                <c:pt idx="13">
                  <c:v>1.32540845924213</c:v>
                </c:pt>
                <c:pt idx="14">
                  <c:v>1.4907592843984951</c:v>
                </c:pt>
                <c:pt idx="15">
                  <c:v>1.7646466168731059</c:v>
                </c:pt>
                <c:pt idx="16">
                  <c:v>1.7718163261764011</c:v>
                </c:pt>
                <c:pt idx="17">
                  <c:v>2.1753605942440108</c:v>
                </c:pt>
                <c:pt idx="18">
                  <c:v>2.006022630180329</c:v>
                </c:pt>
                <c:pt idx="19">
                  <c:v>2.4508313059010289</c:v>
                </c:pt>
                <c:pt idx="20">
                  <c:v>2.9069991715051091</c:v>
                </c:pt>
                <c:pt idx="21">
                  <c:v>3.1375147537779551</c:v>
                </c:pt>
                <c:pt idx="22">
                  <c:v>3.2631799092775351</c:v>
                </c:pt>
                <c:pt idx="23">
                  <c:v>3.5200918161244932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98A8-4EED-97FC-E69C09873DE6}"/>
            </c:ext>
          </c:extLst>
        </c:ser>
        <c:ser>
          <c:idx val="7"/>
          <c:order val="6"/>
          <c:tx>
            <c:v>MLE -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256'!$E$37:$E$60</c:f>
              <c:numCache>
                <c:formatCode>0.0000</c:formatCode>
                <c:ptCount val="24"/>
                <c:pt idx="0">
                  <c:v>5.1229652669141285E-2</c:v>
                </c:pt>
                <c:pt idx="1">
                  <c:v>9.0484594637955398E-2</c:v>
                </c:pt>
                <c:pt idx="2">
                  <c:v>0.12395684949784361</c:v>
                </c:pt>
                <c:pt idx="3">
                  <c:v>0.15625198379932348</c:v>
                </c:pt>
                <c:pt idx="4">
                  <c:v>0.18553711065814021</c:v>
                </c:pt>
                <c:pt idx="5">
                  <c:v>0.22327737048958507</c:v>
                </c:pt>
                <c:pt idx="6">
                  <c:v>0.25410623634915097</c:v>
                </c:pt>
                <c:pt idx="7">
                  <c:v>0.28122810614063898</c:v>
                </c:pt>
                <c:pt idx="8">
                  <c:v>0.30208442959562498</c:v>
                </c:pt>
                <c:pt idx="9">
                  <c:v>0.34628766307748693</c:v>
                </c:pt>
                <c:pt idx="10">
                  <c:v>0.38721348070303402</c:v>
                </c:pt>
                <c:pt idx="11">
                  <c:v>0.41704173625147894</c:v>
                </c:pt>
                <c:pt idx="12">
                  <c:v>0.44458944551443402</c:v>
                </c:pt>
                <c:pt idx="13">
                  <c:v>0.48456876877759902</c:v>
                </c:pt>
                <c:pt idx="14">
                  <c:v>0.50166263589323801</c:v>
                </c:pt>
                <c:pt idx="15">
                  <c:v>0.50509475350619404</c:v>
                </c:pt>
                <c:pt idx="16">
                  <c:v>0.54063717457128102</c:v>
                </c:pt>
                <c:pt idx="17">
                  <c:v>0.55887609341200406</c:v>
                </c:pt>
                <c:pt idx="18">
                  <c:v>0.5424372385939169</c:v>
                </c:pt>
                <c:pt idx="19">
                  <c:v>0.57030404423627001</c:v>
                </c:pt>
                <c:pt idx="20">
                  <c:v>0.61136198617662907</c:v>
                </c:pt>
                <c:pt idx="21">
                  <c:v>0.67514694065153003</c:v>
                </c:pt>
                <c:pt idx="22">
                  <c:v>0.70252193078166592</c:v>
                </c:pt>
                <c:pt idx="23">
                  <c:v>0.71010382966432406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98A8-4EED-97FC-E69C09873DE6}"/>
            </c:ext>
          </c:extLst>
        </c:ser>
        <c:ser>
          <c:idx val="8"/>
          <c:order val="7"/>
          <c:tx>
            <c:v>MLE +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256'!$F$37:$F$60</c:f>
              <c:numCache>
                <c:formatCode>0.0000</c:formatCode>
                <c:ptCount val="24"/>
                <c:pt idx="0">
                  <c:v>6.5347165181851519E-2</c:v>
                </c:pt>
                <c:pt idx="1">
                  <c:v>0.1213218991482946</c:v>
                </c:pt>
                <c:pt idx="2">
                  <c:v>0.18732087851386839</c:v>
                </c:pt>
                <c:pt idx="3">
                  <c:v>0.2501495894670745</c:v>
                </c:pt>
                <c:pt idx="4">
                  <c:v>0.33137357514665583</c:v>
                </c:pt>
                <c:pt idx="5">
                  <c:v>0.4078609012585549</c:v>
                </c:pt>
                <c:pt idx="6">
                  <c:v>0.49102654005222302</c:v>
                </c:pt>
                <c:pt idx="7">
                  <c:v>0.56514156177777297</c:v>
                </c:pt>
                <c:pt idx="8">
                  <c:v>0.65099833541409502</c:v>
                </c:pt>
                <c:pt idx="9">
                  <c:v>0.70204192575199098</c:v>
                </c:pt>
                <c:pt idx="10">
                  <c:v>0.76376350447279795</c:v>
                </c:pt>
                <c:pt idx="11">
                  <c:v>0.791577821264557</c:v>
                </c:pt>
                <c:pt idx="12">
                  <c:v>0.85282841826879208</c:v>
                </c:pt>
                <c:pt idx="13">
                  <c:v>0.88007328068200508</c:v>
                </c:pt>
                <c:pt idx="14">
                  <c:v>0.91294331419973196</c:v>
                </c:pt>
                <c:pt idx="15">
                  <c:v>0.94802070281351791</c:v>
                </c:pt>
                <c:pt idx="16">
                  <c:v>0.95776799723278105</c:v>
                </c:pt>
                <c:pt idx="17">
                  <c:v>0.99081827368389797</c:v>
                </c:pt>
                <c:pt idx="18">
                  <c:v>0.97084703366748104</c:v>
                </c:pt>
                <c:pt idx="19">
                  <c:v>1.0244558110122881</c:v>
                </c:pt>
                <c:pt idx="20">
                  <c:v>1.078342585951749</c:v>
                </c:pt>
                <c:pt idx="21">
                  <c:v>1.09951969494266</c:v>
                </c:pt>
                <c:pt idx="22">
                  <c:v>1.095084938027004</c:v>
                </c:pt>
                <c:pt idx="23">
                  <c:v>1.0920574628455419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98A8-4EED-97FC-E69C09873DE6}"/>
            </c:ext>
          </c:extLst>
        </c:ser>
        <c:ser>
          <c:idx val="2"/>
          <c:order val="8"/>
          <c:tx>
            <c:v>MLE_EM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256'!$G$37:$G$60</c:f>
              <c:numCache>
                <c:formatCode>0.0000</c:formatCode>
                <c:ptCount val="24"/>
                <c:pt idx="0">
                  <c:v>5.8281713588902599E-2</c:v>
                </c:pt>
                <c:pt idx="1">
                  <c:v>0.105835403299314</c:v>
                </c:pt>
                <c:pt idx="2">
                  <c:v>0.153885771495746</c:v>
                </c:pt>
                <c:pt idx="3">
                  <c:v>0.19734791520401301</c:v>
                </c:pt>
                <c:pt idx="4">
                  <c:v>0.24868574068635901</c:v>
                </c:pt>
                <c:pt idx="5">
                  <c:v>0.296300464933198</c:v>
                </c:pt>
                <c:pt idx="6">
                  <c:v>0.34844203971183402</c:v>
                </c:pt>
                <c:pt idx="7">
                  <c:v>0.39546403618021903</c:v>
                </c:pt>
                <c:pt idx="8">
                  <c:v>0.44663393615039898</c:v>
                </c:pt>
                <c:pt idx="9">
                  <c:v>0.497569860739349</c:v>
                </c:pt>
                <c:pt idx="10">
                  <c:v>0.55187107333742103</c:v>
                </c:pt>
                <c:pt idx="11">
                  <c:v>0.60199592793636902</c:v>
                </c:pt>
                <c:pt idx="12">
                  <c:v>0.65964033321118998</c:v>
                </c:pt>
                <c:pt idx="13">
                  <c:v>0.70862172397541201</c:v>
                </c:pt>
                <c:pt idx="14">
                  <c:v>0.79682199164342504</c:v>
                </c:pt>
                <c:pt idx="15">
                  <c:v>0.85369837529557702</c:v>
                </c:pt>
                <c:pt idx="16">
                  <c:v>0.89018060558976497</c:v>
                </c:pt>
                <c:pt idx="17">
                  <c:v>0.96677541719554505</c:v>
                </c:pt>
                <c:pt idx="18">
                  <c:v>1.0322010587135499</c:v>
                </c:pt>
                <c:pt idx="19">
                  <c:v>1.06693945741997</c:v>
                </c:pt>
                <c:pt idx="20">
                  <c:v>1.1191224669826501</c:v>
                </c:pt>
                <c:pt idx="21">
                  <c:v>1.2283903117458901</c:v>
                </c:pt>
                <c:pt idx="22">
                  <c:v>1.2613662115636599</c:v>
                </c:pt>
                <c:pt idx="23">
                  <c:v>1.46514685171794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98A8-4EED-97FC-E69C09873DE6}"/>
            </c:ext>
          </c:extLst>
        </c:ser>
        <c:ser>
          <c:idx val="9"/>
          <c:order val="9"/>
          <c:tx>
            <c:v>MLE_EM -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256'!$H$37:$H$59</c:f>
              <c:numCache>
                <c:formatCode>0.0000</c:formatCode>
                <c:ptCount val="23"/>
                <c:pt idx="0">
                  <c:v>5.2555172386766658E-2</c:v>
                </c:pt>
                <c:pt idx="1">
                  <c:v>9.1792260687693694E-2</c:v>
                </c:pt>
                <c:pt idx="2">
                  <c:v>0.1291508849096755</c:v>
                </c:pt>
                <c:pt idx="3">
                  <c:v>0.16134358126724091</c:v>
                </c:pt>
                <c:pt idx="4">
                  <c:v>0.19751653309418141</c:v>
                </c:pt>
                <c:pt idx="5">
                  <c:v>0.229664425195062</c:v>
                </c:pt>
                <c:pt idx="6">
                  <c:v>0.2630508362693042</c:v>
                </c:pt>
                <c:pt idx="7">
                  <c:v>0.29160819748173206</c:v>
                </c:pt>
                <c:pt idx="8">
                  <c:v>0.32118521020454099</c:v>
                </c:pt>
                <c:pt idx="9">
                  <c:v>0.34957005841557098</c:v>
                </c:pt>
                <c:pt idx="10">
                  <c:v>0.37920561686404602</c:v>
                </c:pt>
                <c:pt idx="11">
                  <c:v>0.40440934024487901</c:v>
                </c:pt>
                <c:pt idx="12">
                  <c:v>0.43039175149699799</c:v>
                </c:pt>
                <c:pt idx="13">
                  <c:v>0.45140334448673103</c:v>
                </c:pt>
                <c:pt idx="14">
                  <c:v>0.48714562928907107</c:v>
                </c:pt>
                <c:pt idx="15">
                  <c:v>0.50526370667994702</c:v>
                </c:pt>
                <c:pt idx="16">
                  <c:v>0.51447930434372191</c:v>
                </c:pt>
                <c:pt idx="17">
                  <c:v>0.54181236883139505</c:v>
                </c:pt>
                <c:pt idx="18">
                  <c:v>0.55246335334580787</c:v>
                </c:pt>
                <c:pt idx="19">
                  <c:v>0.57470796982760297</c:v>
                </c:pt>
                <c:pt idx="20">
                  <c:v>0.59385021439475205</c:v>
                </c:pt>
                <c:pt idx="21">
                  <c:v>0.6105188611642961</c:v>
                </c:pt>
                <c:pt idx="22">
                  <c:v>0.61709941812982494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98A8-4EED-97FC-E69C09873DE6}"/>
            </c:ext>
          </c:extLst>
        </c:ser>
        <c:ser>
          <c:idx val="0"/>
          <c:order val="1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98A8-4EED-97FC-E69C09873DE6}"/>
            </c:ext>
          </c:extLst>
        </c:ser>
        <c:ser>
          <c:idx val="10"/>
          <c:order val="11"/>
          <c:tx>
            <c:v>MLE_EM +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256'!$A$37:$A$59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256'!$I$37:$I$60</c:f>
              <c:numCache>
                <c:formatCode>0.0000</c:formatCode>
                <c:ptCount val="24"/>
                <c:pt idx="0">
                  <c:v>6.4008254791038541E-2</c:v>
                </c:pt>
                <c:pt idx="1">
                  <c:v>0.1198785459109343</c:v>
                </c:pt>
                <c:pt idx="2">
                  <c:v>0.17862065808181651</c:v>
                </c:pt>
                <c:pt idx="3">
                  <c:v>0.23335224914078512</c:v>
                </c:pt>
                <c:pt idx="4">
                  <c:v>0.29985494827853659</c:v>
                </c:pt>
                <c:pt idx="5">
                  <c:v>0.36293650467133398</c:v>
                </c:pt>
                <c:pt idx="6">
                  <c:v>0.43383324315436383</c:v>
                </c:pt>
                <c:pt idx="7">
                  <c:v>0.49931987487870599</c:v>
                </c:pt>
                <c:pt idx="8">
                  <c:v>0.57208266209625691</c:v>
                </c:pt>
                <c:pt idx="9">
                  <c:v>0.64556966306312702</c:v>
                </c:pt>
                <c:pt idx="10">
                  <c:v>0.72453652981079597</c:v>
                </c:pt>
                <c:pt idx="11">
                  <c:v>0.79958251562785909</c:v>
                </c:pt>
                <c:pt idx="12">
                  <c:v>0.88888891492538202</c:v>
                </c:pt>
                <c:pt idx="13">
                  <c:v>0.96584010346409299</c:v>
                </c:pt>
                <c:pt idx="14">
                  <c:v>1.1064983539977791</c:v>
                </c:pt>
                <c:pt idx="15">
                  <c:v>1.202133043911207</c:v>
                </c:pt>
                <c:pt idx="16">
                  <c:v>1.265881906835808</c:v>
                </c:pt>
                <c:pt idx="17">
                  <c:v>1.3917384655596949</c:v>
                </c:pt>
                <c:pt idx="18">
                  <c:v>1.511938764081292</c:v>
                </c:pt>
                <c:pt idx="19">
                  <c:v>1.559170945012337</c:v>
                </c:pt>
                <c:pt idx="20">
                  <c:v>1.6443947195705482</c:v>
                </c:pt>
                <c:pt idx="21">
                  <c:v>1.846261762327484</c:v>
                </c:pt>
                <c:pt idx="22">
                  <c:v>1.9056330049974948</c:v>
                </c:pt>
                <c:pt idx="23">
                  <c:v>2.3090446313176018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98A8-4EED-97FC-E69C09873DE6}"/>
            </c:ext>
          </c:extLst>
        </c:ser>
        <c:ser>
          <c:idx val="12"/>
          <c:order val="12"/>
          <c:tx>
            <c:v>MLE_EM +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256'!$K$37:$K$60</c:f>
              <c:numCache>
                <c:formatCode>0.0000</c:formatCode>
                <c:ptCount val="24"/>
                <c:pt idx="0">
                  <c:v>6.529116966093465E-2</c:v>
                </c:pt>
                <c:pt idx="1">
                  <c:v>0.120907606975242</c:v>
                </c:pt>
                <c:pt idx="2">
                  <c:v>0.181900753520884</c:v>
                </c:pt>
                <c:pt idx="3">
                  <c:v>0.23658321874470131</c:v>
                </c:pt>
                <c:pt idx="4">
                  <c:v>0.3060301618015504</c:v>
                </c:pt>
                <c:pt idx="5">
                  <c:v>0.36682569785302671</c:v>
                </c:pt>
                <c:pt idx="6">
                  <c:v>0.44134642948255842</c:v>
                </c:pt>
                <c:pt idx="7">
                  <c:v>0.51408737644902802</c:v>
                </c:pt>
                <c:pt idx="8">
                  <c:v>0.59525678221885303</c:v>
                </c:pt>
                <c:pt idx="9">
                  <c:v>0.67011024129878805</c:v>
                </c:pt>
                <c:pt idx="10">
                  <c:v>0.73900488620559501</c:v>
                </c:pt>
                <c:pt idx="11">
                  <c:v>0.81857524031748907</c:v>
                </c:pt>
                <c:pt idx="12">
                  <c:v>0.93179934936266906</c:v>
                </c:pt>
                <c:pt idx="13">
                  <c:v>1.0343813901808721</c:v>
                </c:pt>
                <c:pt idx="14">
                  <c:v>1.176309473494767</c:v>
                </c:pt>
                <c:pt idx="15">
                  <c:v>1.3112906673480151</c:v>
                </c:pt>
                <c:pt idx="16">
                  <c:v>1.4177653856795449</c:v>
                </c:pt>
                <c:pt idx="17">
                  <c:v>1.533973450688443</c:v>
                </c:pt>
                <c:pt idx="18">
                  <c:v>1.7173212411568031</c:v>
                </c:pt>
                <c:pt idx="19">
                  <c:v>1.6823794929655129</c:v>
                </c:pt>
                <c:pt idx="20">
                  <c:v>1.7390513985623599</c:v>
                </c:pt>
                <c:pt idx="21">
                  <c:v>1.9900531391001062</c:v>
                </c:pt>
                <c:pt idx="22">
                  <c:v>2.0504272564590749</c:v>
                </c:pt>
                <c:pt idx="23">
                  <c:v>2.5741715122320099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98A8-4EED-97FC-E69C09873DE6}"/>
            </c:ext>
          </c:extLst>
        </c:ser>
        <c:ser>
          <c:idx val="13"/>
          <c:order val="13"/>
          <c:tx>
            <c:v>MOM -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256'!$M$37:$M$60</c:f>
              <c:numCache>
                <c:formatCode>0.0000</c:formatCode>
                <c:ptCount val="24"/>
                <c:pt idx="0">
                  <c:v>6.0732876752308318E-2</c:v>
                </c:pt>
                <c:pt idx="1">
                  <c:v>9.5342384158410398E-2</c:v>
                </c:pt>
                <c:pt idx="2">
                  <c:v>0.1300322468275269</c:v>
                </c:pt>
                <c:pt idx="3">
                  <c:v>0.16195512916409521</c:v>
                </c:pt>
                <c:pt idx="4">
                  <c:v>0.1966362145730253</c:v>
                </c:pt>
                <c:pt idx="5">
                  <c:v>0.2279523329211198</c:v>
                </c:pt>
                <c:pt idx="6">
                  <c:v>0.2613567304010932</c:v>
                </c:pt>
                <c:pt idx="7">
                  <c:v>0.29005132237991699</c:v>
                </c:pt>
                <c:pt idx="8">
                  <c:v>0.31610780183895298</c:v>
                </c:pt>
                <c:pt idx="9">
                  <c:v>0.34669399741629703</c:v>
                </c:pt>
                <c:pt idx="10">
                  <c:v>0.37647686652170398</c:v>
                </c:pt>
                <c:pt idx="11">
                  <c:v>0.40060549811591006</c:v>
                </c:pt>
                <c:pt idx="12">
                  <c:v>0.42494557351501705</c:v>
                </c:pt>
                <c:pt idx="13">
                  <c:v>0.45065774929320496</c:v>
                </c:pt>
                <c:pt idx="14">
                  <c:v>0.48809695506025397</c:v>
                </c:pt>
                <c:pt idx="15">
                  <c:v>0.51439782554310098</c:v>
                </c:pt>
                <c:pt idx="16">
                  <c:v>0.53244377408743293</c:v>
                </c:pt>
                <c:pt idx="17">
                  <c:v>0.56118110171353397</c:v>
                </c:pt>
                <c:pt idx="18">
                  <c:v>0.59180339848188601</c:v>
                </c:pt>
                <c:pt idx="19">
                  <c:v>0.61031112788325403</c:v>
                </c:pt>
                <c:pt idx="20">
                  <c:v>0.62916517071342115</c:v>
                </c:pt>
                <c:pt idx="21">
                  <c:v>0.65912313015819102</c:v>
                </c:pt>
                <c:pt idx="22">
                  <c:v>0.68332295317325809</c:v>
                </c:pt>
                <c:pt idx="23">
                  <c:v>0.71250420567962003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98A8-4EED-97FC-E69C09873DE6}"/>
            </c:ext>
          </c:extLst>
        </c:ser>
        <c:ser>
          <c:idx val="14"/>
          <c:order val="14"/>
          <c:tx>
            <c:v>MOM +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256'!$N$37:$N$60</c:f>
              <c:numCache>
                <c:formatCode>0.0000</c:formatCode>
                <c:ptCount val="24"/>
                <c:pt idx="0">
                  <c:v>7.5614628158884284E-2</c:v>
                </c:pt>
                <c:pt idx="1">
                  <c:v>0.1254461984755576</c:v>
                </c:pt>
                <c:pt idx="2">
                  <c:v>0.18016453574821112</c:v>
                </c:pt>
                <c:pt idx="3">
                  <c:v>0.23437925992804881</c:v>
                </c:pt>
                <c:pt idx="4">
                  <c:v>0.29806474865944071</c:v>
                </c:pt>
                <c:pt idx="5">
                  <c:v>0.35951555836385218</c:v>
                </c:pt>
                <c:pt idx="6">
                  <c:v>0.43004305163549483</c:v>
                </c:pt>
                <c:pt idx="7">
                  <c:v>0.49455767253391097</c:v>
                </c:pt>
                <c:pt idx="8">
                  <c:v>0.56789623582234694</c:v>
                </c:pt>
                <c:pt idx="9">
                  <c:v>0.63998639152237902</c:v>
                </c:pt>
                <c:pt idx="10">
                  <c:v>0.71844394209473794</c:v>
                </c:pt>
                <c:pt idx="11">
                  <c:v>0.78940920749552801</c:v>
                </c:pt>
                <c:pt idx="12">
                  <c:v>0.86555404172594097</c:v>
                </c:pt>
                <c:pt idx="13">
                  <c:v>0.93011968337161899</c:v>
                </c:pt>
                <c:pt idx="14">
                  <c:v>1.0382821817938681</c:v>
                </c:pt>
                <c:pt idx="15">
                  <c:v>1.088745352427221</c:v>
                </c:pt>
                <c:pt idx="16">
                  <c:v>1.1240235016497331</c:v>
                </c:pt>
                <c:pt idx="17">
                  <c:v>1.212042888536452</c:v>
                </c:pt>
                <c:pt idx="18">
                  <c:v>1.2501750263549321</c:v>
                </c:pt>
                <c:pt idx="19">
                  <c:v>1.3059510600325419</c:v>
                </c:pt>
                <c:pt idx="20">
                  <c:v>1.372264928173859</c:v>
                </c:pt>
                <c:pt idx="21">
                  <c:v>1.4089736095920489</c:v>
                </c:pt>
                <c:pt idx="22">
                  <c:v>1.426032926644262</c:v>
                </c:pt>
                <c:pt idx="23">
                  <c:v>1.5013429347548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98A8-4EED-97FC-E69C09873DE6}"/>
            </c:ext>
          </c:extLst>
        </c:ser>
        <c:ser>
          <c:idx val="15"/>
          <c:order val="15"/>
          <c:tx>
            <c:v>MOM -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256'!$O$37:$O$60</c:f>
              <c:numCache>
                <c:formatCode>0.0000</c:formatCode>
                <c:ptCount val="24"/>
                <c:pt idx="0">
                  <c:v>4.8382177791546105E-2</c:v>
                </c:pt>
                <c:pt idx="1">
                  <c:v>8.9191966687980698E-2</c:v>
                </c:pt>
                <c:pt idx="2">
                  <c:v>0.1246943290573983</c:v>
                </c:pt>
                <c:pt idx="3">
                  <c:v>0.15869701705625733</c:v>
                </c:pt>
                <c:pt idx="4">
                  <c:v>0.19056951215004028</c:v>
                </c:pt>
                <c:pt idx="5">
                  <c:v>0.22277035067243431</c:v>
                </c:pt>
                <c:pt idx="6">
                  <c:v>0.25302030823254784</c:v>
                </c:pt>
                <c:pt idx="7">
                  <c:v>0.271544985685792</c:v>
                </c:pt>
                <c:pt idx="8">
                  <c:v>0.30016000672624399</c:v>
                </c:pt>
                <c:pt idx="9">
                  <c:v>0.32104780874924699</c:v>
                </c:pt>
                <c:pt idx="10">
                  <c:v>0.36138632853125097</c:v>
                </c:pt>
                <c:pt idx="11">
                  <c:v>0.38533892042771301</c:v>
                </c:pt>
                <c:pt idx="12">
                  <c:v>0.41283115931967901</c:v>
                </c:pt>
                <c:pt idx="13">
                  <c:v>0.44690554022397894</c:v>
                </c:pt>
                <c:pt idx="14">
                  <c:v>0.477914968945651</c:v>
                </c:pt>
                <c:pt idx="15">
                  <c:v>0.50878773420720402</c:v>
                </c:pt>
                <c:pt idx="16">
                  <c:v>0.53335885809372496</c:v>
                </c:pt>
                <c:pt idx="17">
                  <c:v>0.585692047280992</c:v>
                </c:pt>
                <c:pt idx="18">
                  <c:v>0.60703500153646295</c:v>
                </c:pt>
                <c:pt idx="19">
                  <c:v>0.65913773130872799</c:v>
                </c:pt>
                <c:pt idx="20">
                  <c:v>0.70485274797100206</c:v>
                </c:pt>
                <c:pt idx="21">
                  <c:v>0.72679289389624491</c:v>
                </c:pt>
                <c:pt idx="22">
                  <c:v>0.74783665437509406</c:v>
                </c:pt>
                <c:pt idx="23">
                  <c:v>0.81221170973133905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98A8-4EED-97FC-E69C09873DE6}"/>
            </c:ext>
          </c:extLst>
        </c:ser>
        <c:ser>
          <c:idx val="16"/>
          <c:order val="16"/>
          <c:tx>
            <c:v>MOM +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256'!$P$37:$P$60</c:f>
              <c:numCache>
                <c:formatCode>0.0000</c:formatCode>
                <c:ptCount val="24"/>
                <c:pt idx="0">
                  <c:v>8.7965327119646497E-2</c:v>
                </c:pt>
                <c:pt idx="1">
                  <c:v>0.13159661594598729</c:v>
                </c:pt>
                <c:pt idx="2">
                  <c:v>0.18550245351833972</c:v>
                </c:pt>
                <c:pt idx="3">
                  <c:v>0.2376373720358867</c:v>
                </c:pt>
                <c:pt idx="4">
                  <c:v>0.30413145108242567</c:v>
                </c:pt>
                <c:pt idx="5">
                  <c:v>0.36469754061253767</c:v>
                </c:pt>
                <c:pt idx="6">
                  <c:v>0.43837947380404019</c:v>
                </c:pt>
                <c:pt idx="7">
                  <c:v>0.51306400922803597</c:v>
                </c:pt>
                <c:pt idx="8">
                  <c:v>0.58384403093505599</c:v>
                </c:pt>
                <c:pt idx="9">
                  <c:v>0.66563258018942906</c:v>
                </c:pt>
                <c:pt idx="10">
                  <c:v>0.73353448008519095</c:v>
                </c:pt>
                <c:pt idx="11">
                  <c:v>0.80467578518372507</c:v>
                </c:pt>
                <c:pt idx="12">
                  <c:v>0.87766845592127907</c:v>
                </c:pt>
                <c:pt idx="13">
                  <c:v>0.9338718924408449</c:v>
                </c:pt>
                <c:pt idx="14">
                  <c:v>1.048464167908471</c:v>
                </c:pt>
                <c:pt idx="15">
                  <c:v>1.094355443763118</c:v>
                </c:pt>
                <c:pt idx="16">
                  <c:v>1.1231084176434409</c:v>
                </c:pt>
                <c:pt idx="17">
                  <c:v>1.1875319429689939</c:v>
                </c:pt>
                <c:pt idx="18">
                  <c:v>1.2349434233003551</c:v>
                </c:pt>
                <c:pt idx="19">
                  <c:v>1.2571244566070678</c:v>
                </c:pt>
                <c:pt idx="20">
                  <c:v>1.2965773509162781</c:v>
                </c:pt>
                <c:pt idx="21">
                  <c:v>1.341303845853995</c:v>
                </c:pt>
                <c:pt idx="22">
                  <c:v>1.361519225442426</c:v>
                </c:pt>
                <c:pt idx="23">
                  <c:v>1.4016354307030809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98A8-4EED-97FC-E69C09873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44032"/>
        <c:axId val="204445952"/>
      </c:scatterChart>
      <c:valAx>
        <c:axId val="2044440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-25000"/>
                  <a:t>10</a:t>
                </a:r>
                <a:r>
                  <a:rPr lang="en-US"/>
                  <a:t> R_0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45952"/>
        <c:crosses val="autoZero"/>
        <c:crossBetween val="midCat"/>
        <c:minorUnit val="0.1"/>
      </c:valAx>
      <c:valAx>
        <c:axId val="20444595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</a:t>
                </a:r>
                <a:r>
                  <a:rPr lang="en-US" baseline="0"/>
                  <a:t> log</a:t>
                </a:r>
                <a:r>
                  <a:rPr lang="en-US" baseline="-25000"/>
                  <a:t>10</a:t>
                </a:r>
                <a:r>
                  <a:rPr lang="en-US" baseline="0"/>
                  <a:t> R_0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4403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MOM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512'!$L$37:$L$59</c:f>
              <c:numCache>
                <c:formatCode>0.0000</c:formatCode>
                <c:ptCount val="23"/>
                <c:pt idx="0">
                  <c:v>0.124178055474673</c:v>
                </c:pt>
                <c:pt idx="1">
                  <c:v>0.12591654825131801</c:v>
                </c:pt>
                <c:pt idx="2">
                  <c:v>0.16697809192827801</c:v>
                </c:pt>
                <c:pt idx="3">
                  <c:v>0.21474525060086799</c:v>
                </c:pt>
                <c:pt idx="4">
                  <c:v>0.26259519464377701</c:v>
                </c:pt>
                <c:pt idx="5">
                  <c:v>0.30870664591004199</c:v>
                </c:pt>
                <c:pt idx="6">
                  <c:v>0.36082003652424699</c:v>
                </c:pt>
                <c:pt idx="7">
                  <c:v>0.40378564371848402</c:v>
                </c:pt>
                <c:pt idx="8">
                  <c:v>0.45531953674047498</c:v>
                </c:pt>
                <c:pt idx="9">
                  <c:v>0.49915439032303599</c:v>
                </c:pt>
                <c:pt idx="10">
                  <c:v>0.55456479004804105</c:v>
                </c:pt>
                <c:pt idx="11">
                  <c:v>0.60232746864870801</c:v>
                </c:pt>
                <c:pt idx="12">
                  <c:v>0.65127472661769603</c:v>
                </c:pt>
                <c:pt idx="13">
                  <c:v>0.69173756824337895</c:v>
                </c:pt>
                <c:pt idx="14">
                  <c:v>0.75496312603605997</c:v>
                </c:pt>
                <c:pt idx="15">
                  <c:v>0.81547712525006999</c:v>
                </c:pt>
                <c:pt idx="16">
                  <c:v>0.83504008504955796</c:v>
                </c:pt>
                <c:pt idx="17">
                  <c:v>0.89430781104292401</c:v>
                </c:pt>
                <c:pt idx="18">
                  <c:v>0.93159278250163902</c:v>
                </c:pt>
                <c:pt idx="19">
                  <c:v>0.95737718464384503</c:v>
                </c:pt>
                <c:pt idx="20">
                  <c:v>1.00675094507316</c:v>
                </c:pt>
                <c:pt idx="21">
                  <c:v>1.0132189739324</c:v>
                </c:pt>
                <c:pt idx="22">
                  <c:v>1.0477932118531801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41-4168-B4F3-BC2DDC12C767}"/>
            </c:ext>
          </c:extLst>
        </c:ser>
        <c:ser>
          <c:idx val="11"/>
          <c:order val="1"/>
          <c:tx>
            <c:v>MLE_EM -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512'!$A$37:$A$59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512'!$J$37:$J$60</c:f>
              <c:numCache>
                <c:formatCode>0.0000</c:formatCode>
                <c:ptCount val="24"/>
                <c:pt idx="0">
                  <c:v>6.0889243641755519E-2</c:v>
                </c:pt>
                <c:pt idx="1">
                  <c:v>0.10377481223072631</c:v>
                </c:pt>
                <c:pt idx="2">
                  <c:v>0.14260470535863251</c:v>
                </c:pt>
                <c:pt idx="3">
                  <c:v>0.18249995466464899</c:v>
                </c:pt>
                <c:pt idx="4">
                  <c:v>0.21983100445007833</c:v>
                </c:pt>
                <c:pt idx="5">
                  <c:v>0.25461690121384084</c:v>
                </c:pt>
                <c:pt idx="6">
                  <c:v>0.29286054707587189</c:v>
                </c:pt>
                <c:pt idx="7">
                  <c:v>0.32724818860946331</c:v>
                </c:pt>
                <c:pt idx="8">
                  <c:v>0.35786356744209596</c:v>
                </c:pt>
                <c:pt idx="9">
                  <c:v>0.39076166810793</c:v>
                </c:pt>
                <c:pt idx="10">
                  <c:v>0.42255274935147896</c:v>
                </c:pt>
                <c:pt idx="11">
                  <c:v>0.44938511755620902</c:v>
                </c:pt>
                <c:pt idx="12">
                  <c:v>0.48856104870595896</c:v>
                </c:pt>
                <c:pt idx="13">
                  <c:v>0.51387115495561797</c:v>
                </c:pt>
                <c:pt idx="14">
                  <c:v>0.54691690384666602</c:v>
                </c:pt>
                <c:pt idx="15">
                  <c:v>0.58731974132796205</c:v>
                </c:pt>
                <c:pt idx="16">
                  <c:v>0.57735172030462001</c:v>
                </c:pt>
                <c:pt idx="17">
                  <c:v>0.63385041480457505</c:v>
                </c:pt>
                <c:pt idx="18">
                  <c:v>0.67172049030993497</c:v>
                </c:pt>
                <c:pt idx="19">
                  <c:v>0.67755681685537894</c:v>
                </c:pt>
                <c:pt idx="20">
                  <c:v>0.73524823614960788</c:v>
                </c:pt>
                <c:pt idx="21">
                  <c:v>0.72007638148614306</c:v>
                </c:pt>
                <c:pt idx="22">
                  <c:v>0.73459219879066306</c:v>
                </c:pt>
                <c:pt idx="23">
                  <c:v>0.68465923825125607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D41-4168-B4F3-BC2DDC12C767}"/>
            </c:ext>
          </c:extLst>
        </c:ser>
        <c:ser>
          <c:idx val="5"/>
          <c:order val="2"/>
          <c:tx>
            <c:v>Identity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D41-4168-B4F3-BC2DDC12C767}"/>
            </c:ext>
          </c:extLst>
        </c:ser>
        <c:ser>
          <c:idx val="1"/>
          <c:order val="3"/>
          <c:tx>
            <c:v>MLE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512'!$B$37:$B$60</c:f>
              <c:numCache>
                <c:formatCode>0.0000</c:formatCode>
                <c:ptCount val="24"/>
                <c:pt idx="0">
                  <c:v>0.11466603246106601</c:v>
                </c:pt>
                <c:pt idx="1">
                  <c:v>0.12136392631705301</c:v>
                </c:pt>
                <c:pt idx="2">
                  <c:v>0.165128280737074</c:v>
                </c:pt>
                <c:pt idx="3">
                  <c:v>0.216857776337777</c:v>
                </c:pt>
                <c:pt idx="4">
                  <c:v>0.26766133714555801</c:v>
                </c:pt>
                <c:pt idx="5">
                  <c:v>0.31632033777255603</c:v>
                </c:pt>
                <c:pt idx="6">
                  <c:v>0.37293389088344497</c:v>
                </c:pt>
                <c:pt idx="7">
                  <c:v>0.41323755401670698</c:v>
                </c:pt>
                <c:pt idx="8">
                  <c:v>0.46045385063524602</c:v>
                </c:pt>
                <c:pt idx="9">
                  <c:v>0.50037025096187904</c:v>
                </c:pt>
                <c:pt idx="10">
                  <c:v>0.55006586976090499</c:v>
                </c:pt>
                <c:pt idx="11">
                  <c:v>0.58245760582727302</c:v>
                </c:pt>
                <c:pt idx="12">
                  <c:v>0.60939596760479797</c:v>
                </c:pt>
                <c:pt idx="13">
                  <c:v>0.63490082676760395</c:v>
                </c:pt>
                <c:pt idx="14">
                  <c:v>0.67886775644335295</c:v>
                </c:pt>
                <c:pt idx="15">
                  <c:v>0.70919405028091398</c:v>
                </c:pt>
                <c:pt idx="16">
                  <c:v>0.73147188736475899</c:v>
                </c:pt>
                <c:pt idx="17">
                  <c:v>0.76695449865095799</c:v>
                </c:pt>
                <c:pt idx="18">
                  <c:v>0.75323200577656502</c:v>
                </c:pt>
                <c:pt idx="19">
                  <c:v>0.78625805996419795</c:v>
                </c:pt>
                <c:pt idx="20">
                  <c:v>0.83026649838098499</c:v>
                </c:pt>
                <c:pt idx="21">
                  <c:v>0.880818909498709</c:v>
                </c:pt>
                <c:pt idx="22">
                  <c:v>0.89493270161034799</c:v>
                </c:pt>
                <c:pt idx="23">
                  <c:v>0.87590954564341705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D41-4168-B4F3-BC2DDC12C767}"/>
            </c:ext>
          </c:extLst>
        </c:ser>
        <c:ser>
          <c:idx val="4"/>
          <c:order val="4"/>
          <c:tx>
            <c:v>MLE -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512'!$C$37:$C$60</c:f>
              <c:numCache>
                <c:formatCode>0.0000</c:formatCode>
                <c:ptCount val="24"/>
                <c:pt idx="0">
                  <c:v>0.11466498875389901</c:v>
                </c:pt>
                <c:pt idx="1">
                  <c:v>0.12136233489441138</c:v>
                </c:pt>
                <c:pt idx="2">
                  <c:v>0.16512581584531041</c:v>
                </c:pt>
                <c:pt idx="3">
                  <c:v>0.21683907138546635</c:v>
                </c:pt>
                <c:pt idx="4">
                  <c:v>0.26730108172161438</c:v>
                </c:pt>
                <c:pt idx="5">
                  <c:v>0.31444819215360154</c:v>
                </c:pt>
                <c:pt idx="6">
                  <c:v>0.36562904044463673</c:v>
                </c:pt>
                <c:pt idx="7">
                  <c:v>0.40195881227901209</c:v>
                </c:pt>
                <c:pt idx="8">
                  <c:v>0.44374548177818474</c:v>
                </c:pt>
                <c:pt idx="9">
                  <c:v>0.47599358004007053</c:v>
                </c:pt>
                <c:pt idx="10">
                  <c:v>0.51529055925056766</c:v>
                </c:pt>
                <c:pt idx="11">
                  <c:v>0.53738730981998639</c:v>
                </c:pt>
                <c:pt idx="12">
                  <c:v>0.55789921953894162</c:v>
                </c:pt>
                <c:pt idx="13">
                  <c:v>0.27519908045027297</c:v>
                </c:pt>
                <c:pt idx="14">
                  <c:v>0.50429153733325893</c:v>
                </c:pt>
                <c:pt idx="15">
                  <c:v>0.28252718812578997</c:v>
                </c:pt>
                <c:pt idx="16">
                  <c:v>0.26619758907909696</c:v>
                </c:pt>
                <c:pt idx="17">
                  <c:v>0.28507315511675202</c:v>
                </c:pt>
                <c:pt idx="18">
                  <c:v>0.52529706471576298</c:v>
                </c:pt>
                <c:pt idx="19">
                  <c:v>0.20776718619495393</c:v>
                </c:pt>
                <c:pt idx="20">
                  <c:v>0.28714803732206495</c:v>
                </c:pt>
                <c:pt idx="21">
                  <c:v>0.54041091293238708</c:v>
                </c:pt>
                <c:pt idx="22">
                  <c:v>0.30068160115201303</c:v>
                </c:pt>
                <c:pt idx="23">
                  <c:v>0.57150956881468407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6D41-4168-B4F3-BC2DDC12C767}"/>
            </c:ext>
          </c:extLst>
        </c:ser>
        <c:ser>
          <c:idx val="6"/>
          <c:order val="5"/>
          <c:tx>
            <c:v>MLE +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512'!$D$37:$D$60</c:f>
              <c:numCache>
                <c:formatCode>0.0000</c:formatCode>
                <c:ptCount val="24"/>
                <c:pt idx="0">
                  <c:v>0.114667076168233</c:v>
                </c:pt>
                <c:pt idx="1">
                  <c:v>0.12136551773969463</c:v>
                </c:pt>
                <c:pt idx="2">
                  <c:v>0.16513074562883759</c:v>
                </c:pt>
                <c:pt idx="3">
                  <c:v>0.21687648129008766</c:v>
                </c:pt>
                <c:pt idx="4">
                  <c:v>0.26802159256950164</c:v>
                </c:pt>
                <c:pt idx="5">
                  <c:v>0.31819248339151052</c:v>
                </c:pt>
                <c:pt idx="6">
                  <c:v>0.38023874132225322</c:v>
                </c:pt>
                <c:pt idx="7">
                  <c:v>0.42451629575440186</c:v>
                </c:pt>
                <c:pt idx="8">
                  <c:v>0.4771622194923073</c:v>
                </c:pt>
                <c:pt idx="9">
                  <c:v>0.52474692188368754</c:v>
                </c:pt>
                <c:pt idx="10">
                  <c:v>0.58484118027124232</c:v>
                </c:pt>
                <c:pt idx="11">
                  <c:v>0.62752790183455964</c:v>
                </c:pt>
                <c:pt idx="12">
                  <c:v>0.66089271567065433</c:v>
                </c:pt>
                <c:pt idx="13">
                  <c:v>0.99460257308493494</c:v>
                </c:pt>
                <c:pt idx="14">
                  <c:v>0.85344397555344698</c:v>
                </c:pt>
                <c:pt idx="15">
                  <c:v>1.1358609124360379</c:v>
                </c:pt>
                <c:pt idx="16">
                  <c:v>1.1967461856504209</c:v>
                </c:pt>
                <c:pt idx="17">
                  <c:v>1.248835842185164</c:v>
                </c:pt>
                <c:pt idx="18">
                  <c:v>0.98116694683736705</c:v>
                </c:pt>
                <c:pt idx="19">
                  <c:v>1.364748933733442</c:v>
                </c:pt>
                <c:pt idx="20">
                  <c:v>1.373384959439905</c:v>
                </c:pt>
                <c:pt idx="21">
                  <c:v>1.2212269060650309</c:v>
                </c:pt>
                <c:pt idx="22">
                  <c:v>1.4891838020686829</c:v>
                </c:pt>
                <c:pt idx="23">
                  <c:v>1.18030952247215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6D41-4168-B4F3-BC2DDC12C767}"/>
            </c:ext>
          </c:extLst>
        </c:ser>
        <c:ser>
          <c:idx val="7"/>
          <c:order val="6"/>
          <c:tx>
            <c:v>MLE -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512'!$E$37:$E$60</c:f>
              <c:numCache>
                <c:formatCode>0.0000</c:formatCode>
                <c:ptCount val="24"/>
                <c:pt idx="0">
                  <c:v>0.11422593266644082</c:v>
                </c:pt>
                <c:pt idx="1">
                  <c:v>0.11140869677073269</c:v>
                </c:pt>
                <c:pt idx="2">
                  <c:v>0.13856750728378792</c:v>
                </c:pt>
                <c:pt idx="3">
                  <c:v>0.1779708370454815</c:v>
                </c:pt>
                <c:pt idx="4">
                  <c:v>0.2166285086110768</c:v>
                </c:pt>
                <c:pt idx="5">
                  <c:v>0.24836425226817432</c:v>
                </c:pt>
                <c:pt idx="6">
                  <c:v>0.28546648929749846</c:v>
                </c:pt>
                <c:pt idx="7">
                  <c:v>0.31581040037187347</c:v>
                </c:pt>
                <c:pt idx="8">
                  <c:v>0.34524197707154802</c:v>
                </c:pt>
                <c:pt idx="9">
                  <c:v>0.36925971243728106</c:v>
                </c:pt>
                <c:pt idx="10">
                  <c:v>0.401130094202577</c:v>
                </c:pt>
                <c:pt idx="11">
                  <c:v>0.42753855668261798</c:v>
                </c:pt>
                <c:pt idx="12">
                  <c:v>0.44619229134929894</c:v>
                </c:pt>
                <c:pt idx="13">
                  <c:v>0.46319932421893095</c:v>
                </c:pt>
                <c:pt idx="14">
                  <c:v>0.49633813636002999</c:v>
                </c:pt>
                <c:pt idx="15">
                  <c:v>0.51482365019667498</c:v>
                </c:pt>
                <c:pt idx="16">
                  <c:v>0.53702400073350598</c:v>
                </c:pt>
                <c:pt idx="17">
                  <c:v>0.58372013052428395</c:v>
                </c:pt>
                <c:pt idx="18">
                  <c:v>0.56080377819907401</c:v>
                </c:pt>
                <c:pt idx="19">
                  <c:v>0.57464617321656697</c:v>
                </c:pt>
                <c:pt idx="20">
                  <c:v>0.61130736612348702</c:v>
                </c:pt>
                <c:pt idx="21">
                  <c:v>0.69636630980574599</c:v>
                </c:pt>
                <c:pt idx="22">
                  <c:v>0.73630333805603099</c:v>
                </c:pt>
                <c:pt idx="23">
                  <c:v>0.73204655811714103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6D41-4168-B4F3-BC2DDC12C767}"/>
            </c:ext>
          </c:extLst>
        </c:ser>
        <c:ser>
          <c:idx val="8"/>
          <c:order val="7"/>
          <c:tx>
            <c:v>MLE +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512'!$F$37:$F$60</c:f>
              <c:numCache>
                <c:formatCode>0.0000</c:formatCode>
                <c:ptCount val="24"/>
                <c:pt idx="0">
                  <c:v>0.11510613225569119</c:v>
                </c:pt>
                <c:pt idx="1">
                  <c:v>0.13131915586337334</c:v>
                </c:pt>
                <c:pt idx="2">
                  <c:v>0.19168905419036009</c:v>
                </c:pt>
                <c:pt idx="3">
                  <c:v>0.25574471563007251</c:v>
                </c:pt>
                <c:pt idx="4">
                  <c:v>0.31869416568003922</c:v>
                </c:pt>
                <c:pt idx="5">
                  <c:v>0.38427642327693773</c:v>
                </c:pt>
                <c:pt idx="6">
                  <c:v>0.46040129246939149</c:v>
                </c:pt>
                <c:pt idx="7">
                  <c:v>0.51066470766154048</c:v>
                </c:pt>
                <c:pt idx="8">
                  <c:v>0.57566572419894402</c:v>
                </c:pt>
                <c:pt idx="9">
                  <c:v>0.63148078948647701</c:v>
                </c:pt>
                <c:pt idx="10">
                  <c:v>0.69900164531923292</c:v>
                </c:pt>
                <c:pt idx="11">
                  <c:v>0.73737665497192806</c:v>
                </c:pt>
                <c:pt idx="12">
                  <c:v>0.772599643860297</c:v>
                </c:pt>
                <c:pt idx="13">
                  <c:v>0.80660232931627696</c:v>
                </c:pt>
                <c:pt idx="14">
                  <c:v>0.86139737652667592</c:v>
                </c:pt>
                <c:pt idx="15">
                  <c:v>0.90356445036515298</c:v>
                </c:pt>
                <c:pt idx="16">
                  <c:v>0.925919773996012</c:v>
                </c:pt>
                <c:pt idx="17">
                  <c:v>0.95018886677763204</c:v>
                </c:pt>
                <c:pt idx="18">
                  <c:v>0.94566023335405602</c:v>
                </c:pt>
                <c:pt idx="19">
                  <c:v>0.99786994671182894</c:v>
                </c:pt>
                <c:pt idx="20">
                  <c:v>1.0492256306384831</c:v>
                </c:pt>
                <c:pt idx="21">
                  <c:v>1.065271509191672</c:v>
                </c:pt>
                <c:pt idx="22">
                  <c:v>1.0535620651646651</c:v>
                </c:pt>
                <c:pt idx="23">
                  <c:v>1.019772533169693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6D41-4168-B4F3-BC2DDC12C767}"/>
            </c:ext>
          </c:extLst>
        </c:ser>
        <c:ser>
          <c:idx val="2"/>
          <c:order val="8"/>
          <c:tx>
            <c:v>MLE_EM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512'!$G$37:$G$60</c:f>
              <c:numCache>
                <c:formatCode>0.0000</c:formatCode>
                <c:ptCount val="24"/>
                <c:pt idx="0">
                  <c:v>6.7312417053158297E-2</c:v>
                </c:pt>
                <c:pt idx="1">
                  <c:v>0.11643250054653601</c:v>
                </c:pt>
                <c:pt idx="2">
                  <c:v>0.163996790185749</c:v>
                </c:pt>
                <c:pt idx="3">
                  <c:v>0.21242608820430001</c:v>
                </c:pt>
                <c:pt idx="4">
                  <c:v>0.26012551130907102</c:v>
                </c:pt>
                <c:pt idx="5">
                  <c:v>0.30786638561012902</c:v>
                </c:pt>
                <c:pt idx="6">
                  <c:v>0.359947504867555</c:v>
                </c:pt>
                <c:pt idx="7">
                  <c:v>0.402963162424754</c:v>
                </c:pt>
                <c:pt idx="8">
                  <c:v>0.45443448335575298</c:v>
                </c:pt>
                <c:pt idx="9">
                  <c:v>0.49875747980676399</c:v>
                </c:pt>
                <c:pt idx="10">
                  <c:v>0.55527950707108797</c:v>
                </c:pt>
                <c:pt idx="11">
                  <c:v>0.60228967663775002</c:v>
                </c:pt>
                <c:pt idx="12">
                  <c:v>0.65129809692679796</c:v>
                </c:pt>
                <c:pt idx="13">
                  <c:v>0.69202918845384498</c:v>
                </c:pt>
                <c:pt idx="14">
                  <c:v>0.76106447362325702</c:v>
                </c:pt>
                <c:pt idx="15">
                  <c:v>0.81690070703309003</c:v>
                </c:pt>
                <c:pt idx="16">
                  <c:v>0.85213935303149502</c:v>
                </c:pt>
                <c:pt idx="17">
                  <c:v>0.93054972233481903</c:v>
                </c:pt>
                <c:pt idx="18">
                  <c:v>0.96457327203716403</c:v>
                </c:pt>
                <c:pt idx="19">
                  <c:v>1.0382102720810999</c:v>
                </c:pt>
                <c:pt idx="20">
                  <c:v>1.0943575153570999</c:v>
                </c:pt>
                <c:pt idx="21">
                  <c:v>1.14441783535011</c:v>
                </c:pt>
                <c:pt idx="22">
                  <c:v>1.24071114366831</c:v>
                </c:pt>
                <c:pt idx="23">
                  <c:v>1.30176563408068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6D41-4168-B4F3-BC2DDC12C767}"/>
            </c:ext>
          </c:extLst>
        </c:ser>
        <c:ser>
          <c:idx val="9"/>
          <c:order val="9"/>
          <c:tx>
            <c:v>MLE_EM -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512'!$H$37:$H$59</c:f>
              <c:numCache>
                <c:formatCode>0.0000</c:formatCode>
                <c:ptCount val="23"/>
                <c:pt idx="0">
                  <c:v>6.2301298868737968E-2</c:v>
                </c:pt>
                <c:pt idx="1">
                  <c:v>0.10502101637327101</c:v>
                </c:pt>
                <c:pt idx="2">
                  <c:v>0.14488458911361601</c:v>
                </c:pt>
                <c:pt idx="3">
                  <c:v>0.1842219630252743</c:v>
                </c:pt>
                <c:pt idx="4">
                  <c:v>0.22185004385764903</c:v>
                </c:pt>
                <c:pt idx="5">
                  <c:v>0.2584785892793065</c:v>
                </c:pt>
                <c:pt idx="6">
                  <c:v>0.29740200328240673</c:v>
                </c:pt>
                <c:pt idx="7">
                  <c:v>0.32886472682803908</c:v>
                </c:pt>
                <c:pt idx="8">
                  <c:v>0.36538973328804736</c:v>
                </c:pt>
                <c:pt idx="9">
                  <c:v>0.39631539620687001</c:v>
                </c:pt>
                <c:pt idx="10">
                  <c:v>0.43450448350151799</c:v>
                </c:pt>
                <c:pt idx="11">
                  <c:v>0.46551379251265401</c:v>
                </c:pt>
                <c:pt idx="12">
                  <c:v>0.49764018523777998</c:v>
                </c:pt>
                <c:pt idx="13">
                  <c:v>0.523483302631505</c:v>
                </c:pt>
                <c:pt idx="14">
                  <c:v>0.56584083623340109</c:v>
                </c:pt>
                <c:pt idx="15">
                  <c:v>0.59976970529496199</c:v>
                </c:pt>
                <c:pt idx="16">
                  <c:v>0.61907769218403508</c:v>
                </c:pt>
                <c:pt idx="17">
                  <c:v>0.66471210601888697</c:v>
                </c:pt>
                <c:pt idx="18">
                  <c:v>0.68474233725008105</c:v>
                </c:pt>
                <c:pt idx="19">
                  <c:v>0.72308921717500796</c:v>
                </c:pt>
                <c:pt idx="20">
                  <c:v>0.75453173918788097</c:v>
                </c:pt>
                <c:pt idx="21">
                  <c:v>0.77809756914475292</c:v>
                </c:pt>
                <c:pt idx="22">
                  <c:v>0.82382919782437702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6D41-4168-B4F3-BC2DDC12C767}"/>
            </c:ext>
          </c:extLst>
        </c:ser>
        <c:ser>
          <c:idx val="0"/>
          <c:order val="1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6D41-4168-B4F3-BC2DDC12C767}"/>
            </c:ext>
          </c:extLst>
        </c:ser>
        <c:ser>
          <c:idx val="10"/>
          <c:order val="11"/>
          <c:tx>
            <c:v>MLE_EM +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512'!$A$37:$A$59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512'!$I$37:$I$60</c:f>
              <c:numCache>
                <c:formatCode>0.0000</c:formatCode>
                <c:ptCount val="24"/>
                <c:pt idx="0">
                  <c:v>7.2323535237578632E-2</c:v>
                </c:pt>
                <c:pt idx="1">
                  <c:v>0.12784398471980102</c:v>
                </c:pt>
                <c:pt idx="2">
                  <c:v>0.18310899125788199</c:v>
                </c:pt>
                <c:pt idx="3">
                  <c:v>0.24063021338332571</c:v>
                </c:pt>
                <c:pt idx="4">
                  <c:v>0.29840097876049304</c:v>
                </c:pt>
                <c:pt idx="5">
                  <c:v>0.35725418194095154</c:v>
                </c:pt>
                <c:pt idx="6">
                  <c:v>0.42249300645270327</c:v>
                </c:pt>
                <c:pt idx="7">
                  <c:v>0.47706159802146891</c:v>
                </c:pt>
                <c:pt idx="8">
                  <c:v>0.54347923342345861</c:v>
                </c:pt>
                <c:pt idx="9">
                  <c:v>0.60119956340665803</c:v>
                </c:pt>
                <c:pt idx="10">
                  <c:v>0.67605453064065801</c:v>
                </c:pt>
                <c:pt idx="11">
                  <c:v>0.73906556076284602</c:v>
                </c:pt>
                <c:pt idx="12">
                  <c:v>0.80495600861581595</c:v>
                </c:pt>
                <c:pt idx="13">
                  <c:v>0.86057507427618496</c:v>
                </c:pt>
                <c:pt idx="14">
                  <c:v>0.95628811101311295</c:v>
                </c:pt>
                <c:pt idx="15">
                  <c:v>1.0340317087712181</c:v>
                </c:pt>
                <c:pt idx="16">
                  <c:v>1.085201013878955</c:v>
                </c:pt>
                <c:pt idx="17">
                  <c:v>1.1963873386507511</c:v>
                </c:pt>
                <c:pt idx="18">
                  <c:v>1.2444042068242469</c:v>
                </c:pt>
                <c:pt idx="19">
                  <c:v>1.3533313269871918</c:v>
                </c:pt>
                <c:pt idx="20">
                  <c:v>1.4341832915263188</c:v>
                </c:pt>
                <c:pt idx="21">
                  <c:v>1.5107381015554671</c:v>
                </c:pt>
                <c:pt idx="22">
                  <c:v>1.657593089512243</c:v>
                </c:pt>
                <c:pt idx="23">
                  <c:v>1.7551320591054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6D41-4168-B4F3-BC2DDC12C767}"/>
            </c:ext>
          </c:extLst>
        </c:ser>
        <c:ser>
          <c:idx val="12"/>
          <c:order val="12"/>
          <c:tx>
            <c:v>MLE_EM +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512'!$K$37:$K$60</c:f>
              <c:numCache>
                <c:formatCode>0.0000</c:formatCode>
                <c:ptCount val="24"/>
                <c:pt idx="0">
                  <c:v>7.3735590464561074E-2</c:v>
                </c:pt>
                <c:pt idx="1">
                  <c:v>0.12909018886234572</c:v>
                </c:pt>
                <c:pt idx="2">
                  <c:v>0.18538887501286549</c:v>
                </c:pt>
                <c:pt idx="3">
                  <c:v>0.24235222174395102</c:v>
                </c:pt>
                <c:pt idx="4">
                  <c:v>0.30042001816806374</c:v>
                </c:pt>
                <c:pt idx="5">
                  <c:v>0.36111587000641721</c:v>
                </c:pt>
                <c:pt idx="6">
                  <c:v>0.42703446265923811</c:v>
                </c:pt>
                <c:pt idx="7">
                  <c:v>0.47867813624004468</c:v>
                </c:pt>
                <c:pt idx="8">
                  <c:v>0.55100539926940995</c:v>
                </c:pt>
                <c:pt idx="9">
                  <c:v>0.60675329150559798</c:v>
                </c:pt>
                <c:pt idx="10">
                  <c:v>0.68800626479069704</c:v>
                </c:pt>
                <c:pt idx="11">
                  <c:v>0.75519423571929101</c:v>
                </c:pt>
                <c:pt idx="12">
                  <c:v>0.81403514514763697</c:v>
                </c:pt>
                <c:pt idx="13">
                  <c:v>0.87018722195207199</c:v>
                </c:pt>
                <c:pt idx="14">
                  <c:v>0.97521204339984802</c:v>
                </c:pt>
                <c:pt idx="15">
                  <c:v>1.046481672738218</c:v>
                </c:pt>
                <c:pt idx="16">
                  <c:v>1.1269269857583701</c:v>
                </c:pt>
                <c:pt idx="17">
                  <c:v>1.2272490298650629</c:v>
                </c:pt>
                <c:pt idx="18">
                  <c:v>1.2574260537643931</c:v>
                </c:pt>
                <c:pt idx="19">
                  <c:v>1.398863727306821</c:v>
                </c:pt>
                <c:pt idx="20">
                  <c:v>1.453466794564592</c:v>
                </c:pt>
                <c:pt idx="21">
                  <c:v>1.5687592892140769</c:v>
                </c:pt>
                <c:pt idx="22">
                  <c:v>1.7468300885459569</c:v>
                </c:pt>
                <c:pt idx="23">
                  <c:v>1.9188720299101041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6D41-4168-B4F3-BC2DDC12C767}"/>
            </c:ext>
          </c:extLst>
        </c:ser>
        <c:ser>
          <c:idx val="13"/>
          <c:order val="13"/>
          <c:tx>
            <c:v>MOM -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512'!$M$37:$M$60</c:f>
              <c:numCache>
                <c:formatCode>0.0000</c:formatCode>
                <c:ptCount val="24"/>
                <c:pt idx="0">
                  <c:v>0.11166616642534841</c:v>
                </c:pt>
                <c:pt idx="1">
                  <c:v>0.11312115050086072</c:v>
                </c:pt>
                <c:pt idx="2">
                  <c:v>0.1473155185400819</c:v>
                </c:pt>
                <c:pt idx="3">
                  <c:v>0.18605623744197969</c:v>
                </c:pt>
                <c:pt idx="4">
                  <c:v>0.22378965965909819</c:v>
                </c:pt>
                <c:pt idx="5">
                  <c:v>0.25911745416934778</c:v>
                </c:pt>
                <c:pt idx="6">
                  <c:v>0.298053799118218</c:v>
                </c:pt>
                <c:pt idx="7">
                  <c:v>0.32949999861554236</c:v>
                </c:pt>
                <c:pt idx="8">
                  <c:v>0.36616263128199156</c:v>
                </c:pt>
                <c:pt idx="9">
                  <c:v>0.39701975755547397</c:v>
                </c:pt>
                <c:pt idx="10">
                  <c:v>0.43442313717404502</c:v>
                </c:pt>
                <c:pt idx="11">
                  <c:v>0.46315877088260704</c:v>
                </c:pt>
                <c:pt idx="12">
                  <c:v>0.48940818736923203</c:v>
                </c:pt>
                <c:pt idx="13">
                  <c:v>0.51694643257616302</c:v>
                </c:pt>
                <c:pt idx="14">
                  <c:v>0.54576735658838194</c:v>
                </c:pt>
                <c:pt idx="15">
                  <c:v>0.59231298608390892</c:v>
                </c:pt>
                <c:pt idx="16">
                  <c:v>0.59824024186428393</c:v>
                </c:pt>
                <c:pt idx="17">
                  <c:v>0.61606027816434095</c:v>
                </c:pt>
                <c:pt idx="18">
                  <c:v>0.61844496733853593</c:v>
                </c:pt>
                <c:pt idx="19">
                  <c:v>0.65555581323706802</c:v>
                </c:pt>
                <c:pt idx="20">
                  <c:v>0.67360903888723</c:v>
                </c:pt>
                <c:pt idx="21">
                  <c:v>0.68714906899592898</c:v>
                </c:pt>
                <c:pt idx="22">
                  <c:v>0.72267469985985511</c:v>
                </c:pt>
                <c:pt idx="23">
                  <c:v>0.73143898364817317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6D41-4168-B4F3-BC2DDC12C767}"/>
            </c:ext>
          </c:extLst>
        </c:ser>
        <c:ser>
          <c:idx val="14"/>
          <c:order val="14"/>
          <c:tx>
            <c:v>MOM +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512'!$N$37:$N$60</c:f>
              <c:numCache>
                <c:formatCode>0.0000</c:formatCode>
                <c:ptCount val="24"/>
                <c:pt idx="0">
                  <c:v>0.1366899445239976</c:v>
                </c:pt>
                <c:pt idx="1">
                  <c:v>0.1387119460017753</c:v>
                </c:pt>
                <c:pt idx="2">
                  <c:v>0.18664066531647411</c:v>
                </c:pt>
                <c:pt idx="3">
                  <c:v>0.2434342637597563</c:v>
                </c:pt>
                <c:pt idx="4">
                  <c:v>0.30140072962845582</c:v>
                </c:pt>
                <c:pt idx="5">
                  <c:v>0.35829583765073619</c:v>
                </c:pt>
                <c:pt idx="6">
                  <c:v>0.42358627393027598</c:v>
                </c:pt>
                <c:pt idx="7">
                  <c:v>0.47807128882142569</c:v>
                </c:pt>
                <c:pt idx="8">
                  <c:v>0.54447644219895841</c:v>
                </c:pt>
                <c:pt idx="9">
                  <c:v>0.60128902309059795</c:v>
                </c:pt>
                <c:pt idx="10">
                  <c:v>0.67470644292203708</c:v>
                </c:pt>
                <c:pt idx="11">
                  <c:v>0.74149616641480898</c:v>
                </c:pt>
                <c:pt idx="12">
                  <c:v>0.81314126586616009</c:v>
                </c:pt>
                <c:pt idx="13">
                  <c:v>0.86652870391059489</c:v>
                </c:pt>
                <c:pt idx="14">
                  <c:v>0.96415889548373801</c:v>
                </c:pt>
                <c:pt idx="15">
                  <c:v>1.0386412644162311</c:v>
                </c:pt>
                <c:pt idx="16">
                  <c:v>1.0718399282348319</c:v>
                </c:pt>
                <c:pt idx="17">
                  <c:v>1.1725553439215071</c:v>
                </c:pt>
                <c:pt idx="18">
                  <c:v>1.2447405976647421</c:v>
                </c:pt>
                <c:pt idx="19">
                  <c:v>1.259198556050622</c:v>
                </c:pt>
                <c:pt idx="20">
                  <c:v>1.33989285125909</c:v>
                </c:pt>
                <c:pt idx="21">
                  <c:v>1.339288878868871</c:v>
                </c:pt>
                <c:pt idx="22">
                  <c:v>1.3729117238465052</c:v>
                </c:pt>
                <c:pt idx="23">
                  <c:v>1.375108773033727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6D41-4168-B4F3-BC2DDC12C767}"/>
            </c:ext>
          </c:extLst>
        </c:ser>
        <c:ser>
          <c:idx val="15"/>
          <c:order val="15"/>
          <c:tx>
            <c:v>MOM -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512'!$O$37:$O$60</c:f>
              <c:numCache>
                <c:formatCode>0.0000</c:formatCode>
                <c:ptCount val="24"/>
                <c:pt idx="0">
                  <c:v>0.12417805547467116</c:v>
                </c:pt>
                <c:pt idx="1">
                  <c:v>0.11760947087394633</c:v>
                </c:pt>
                <c:pt idx="2">
                  <c:v>0.14265872904976989</c:v>
                </c:pt>
                <c:pt idx="3">
                  <c:v>0.18243600558289289</c:v>
                </c:pt>
                <c:pt idx="4">
                  <c:v>0.22198336691500931</c:v>
                </c:pt>
                <c:pt idx="5">
                  <c:v>0.25435819279235017</c:v>
                </c:pt>
                <c:pt idx="6">
                  <c:v>0.29218226886585841</c:v>
                </c:pt>
                <c:pt idx="7">
                  <c:v>0.32732239181169531</c:v>
                </c:pt>
                <c:pt idx="8">
                  <c:v>0.35895882885447161</c:v>
                </c:pt>
                <c:pt idx="9">
                  <c:v>0.39191432872974796</c:v>
                </c:pt>
                <c:pt idx="10">
                  <c:v>0.42026926815991505</c:v>
                </c:pt>
                <c:pt idx="11">
                  <c:v>0.44823340082197305</c:v>
                </c:pt>
                <c:pt idx="12">
                  <c:v>0.48900470156499903</c:v>
                </c:pt>
                <c:pt idx="13">
                  <c:v>0.51286565050598298</c:v>
                </c:pt>
                <c:pt idx="14">
                  <c:v>0.55230020070527597</c:v>
                </c:pt>
                <c:pt idx="15">
                  <c:v>0.58874069784827299</c:v>
                </c:pt>
                <c:pt idx="16">
                  <c:v>0.5945362308402129</c:v>
                </c:pt>
                <c:pt idx="17">
                  <c:v>0.63532296363528706</c:v>
                </c:pt>
                <c:pt idx="18">
                  <c:v>0.66670783322763194</c:v>
                </c:pt>
                <c:pt idx="19">
                  <c:v>0.66825027447155705</c:v>
                </c:pt>
                <c:pt idx="20">
                  <c:v>0.70371018186481593</c:v>
                </c:pt>
                <c:pt idx="21">
                  <c:v>0.69074640070608995</c:v>
                </c:pt>
                <c:pt idx="22">
                  <c:v>0.68891499230011211</c:v>
                </c:pt>
                <c:pt idx="23">
                  <c:v>0.6706014267302971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6D41-4168-B4F3-BC2DDC12C767}"/>
            </c:ext>
          </c:extLst>
        </c:ser>
        <c:ser>
          <c:idx val="16"/>
          <c:order val="16"/>
          <c:tx>
            <c:v>MOM +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512'!$P$37:$P$60</c:f>
              <c:numCache>
                <c:formatCode>0.0000</c:formatCode>
                <c:ptCount val="24"/>
                <c:pt idx="0">
                  <c:v>0.12417805547467485</c:v>
                </c:pt>
                <c:pt idx="1">
                  <c:v>0.1342236256286897</c:v>
                </c:pt>
                <c:pt idx="2">
                  <c:v>0.19129745480678612</c:v>
                </c:pt>
                <c:pt idx="3">
                  <c:v>0.2470544956188431</c:v>
                </c:pt>
                <c:pt idx="4">
                  <c:v>0.30320702237254471</c:v>
                </c:pt>
                <c:pt idx="5">
                  <c:v>0.36305509902773381</c:v>
                </c:pt>
                <c:pt idx="6">
                  <c:v>0.42945780418263557</c:v>
                </c:pt>
                <c:pt idx="7">
                  <c:v>0.48024889562527273</c:v>
                </c:pt>
                <c:pt idx="8">
                  <c:v>0.55168024462647836</c:v>
                </c:pt>
                <c:pt idx="9">
                  <c:v>0.60639445191632402</c:v>
                </c:pt>
                <c:pt idx="10">
                  <c:v>0.68886031193616704</c:v>
                </c:pt>
                <c:pt idx="11">
                  <c:v>0.75642153647544297</c:v>
                </c:pt>
                <c:pt idx="12">
                  <c:v>0.81354475167039308</c:v>
                </c:pt>
                <c:pt idx="13">
                  <c:v>0.87060948598077492</c:v>
                </c:pt>
                <c:pt idx="14">
                  <c:v>0.95762605136684398</c:v>
                </c:pt>
                <c:pt idx="15">
                  <c:v>1.042213552651867</c:v>
                </c:pt>
                <c:pt idx="16">
                  <c:v>1.075543939258903</c:v>
                </c:pt>
                <c:pt idx="17">
                  <c:v>1.1532926584505609</c:v>
                </c:pt>
                <c:pt idx="18">
                  <c:v>1.1964777317756461</c:v>
                </c:pt>
                <c:pt idx="19">
                  <c:v>1.246504094816133</c:v>
                </c:pt>
                <c:pt idx="20">
                  <c:v>1.309791708281504</c:v>
                </c:pt>
                <c:pt idx="21">
                  <c:v>1.3356915471587101</c:v>
                </c:pt>
                <c:pt idx="22">
                  <c:v>1.4066714314062481</c:v>
                </c:pt>
                <c:pt idx="23">
                  <c:v>1.4359463299516031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6D41-4168-B4F3-BC2DDC12C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310592"/>
        <c:axId val="205320960"/>
      </c:scatterChart>
      <c:valAx>
        <c:axId val="2053105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-25000"/>
                  <a:t>10</a:t>
                </a:r>
                <a:r>
                  <a:rPr lang="en-US"/>
                  <a:t> R_0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0960"/>
        <c:crosses val="autoZero"/>
        <c:crossBetween val="midCat"/>
        <c:minorUnit val="0.1"/>
      </c:valAx>
      <c:valAx>
        <c:axId val="20532096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</a:t>
                </a:r>
                <a:r>
                  <a:rPr lang="en-US" baseline="0"/>
                  <a:t> log</a:t>
                </a:r>
                <a:r>
                  <a:rPr lang="en-US" baseline="-25000"/>
                  <a:t>10</a:t>
                </a:r>
                <a:r>
                  <a:rPr lang="en-US" baseline="0"/>
                  <a:t> R_0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1059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MOM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1024'!$L$37:$L$59</c:f>
              <c:numCache>
                <c:formatCode>0.0000</c:formatCode>
                <c:ptCount val="23"/>
                <c:pt idx="0">
                  <c:v>0.28974879610757398</c:v>
                </c:pt>
                <c:pt idx="1">
                  <c:v>0.28974879610757398</c:v>
                </c:pt>
                <c:pt idx="2">
                  <c:v>0.28974879610757398</c:v>
                </c:pt>
                <c:pt idx="3">
                  <c:v>0.29036968638494698</c:v>
                </c:pt>
                <c:pt idx="4">
                  <c:v>0.300965642487598</c:v>
                </c:pt>
                <c:pt idx="5">
                  <c:v>0.336768029958045</c:v>
                </c:pt>
                <c:pt idx="6">
                  <c:v>0.381963882301879</c:v>
                </c:pt>
                <c:pt idx="7">
                  <c:v>0.43871992739631799</c:v>
                </c:pt>
                <c:pt idx="8">
                  <c:v>0.48584635639573998</c:v>
                </c:pt>
                <c:pt idx="9">
                  <c:v>0.53187006244273705</c:v>
                </c:pt>
                <c:pt idx="10">
                  <c:v>0.587734736561636</c:v>
                </c:pt>
                <c:pt idx="11">
                  <c:v>0.63493799843401999</c:v>
                </c:pt>
                <c:pt idx="12">
                  <c:v>0.682030378845501</c:v>
                </c:pt>
                <c:pt idx="13">
                  <c:v>0.73600986343775299</c:v>
                </c:pt>
                <c:pt idx="14">
                  <c:v>0.80481819875442795</c:v>
                </c:pt>
                <c:pt idx="15">
                  <c:v>0.86215569560021599</c:v>
                </c:pt>
                <c:pt idx="16">
                  <c:v>0.92972910453823199</c:v>
                </c:pt>
                <c:pt idx="17">
                  <c:v>0.98348515588274299</c:v>
                </c:pt>
                <c:pt idx="18">
                  <c:v>1.0565721988696</c:v>
                </c:pt>
                <c:pt idx="19">
                  <c:v>1.08958787705622</c:v>
                </c:pt>
                <c:pt idx="20">
                  <c:v>1.14362211740178</c:v>
                </c:pt>
                <c:pt idx="21">
                  <c:v>1.17489158247817</c:v>
                </c:pt>
                <c:pt idx="22">
                  <c:v>1.18134524063809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41-4168-B4F3-BC2DDC12C767}"/>
            </c:ext>
          </c:extLst>
        </c:ser>
        <c:ser>
          <c:idx val="11"/>
          <c:order val="1"/>
          <c:tx>
            <c:v>MLE_EM -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1024'!$A$37:$A$59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1024'!$J$37:$J$60</c:f>
              <c:numCache>
                <c:formatCode>0.0000</c:formatCode>
                <c:ptCount val="24"/>
                <c:pt idx="0">
                  <c:v>7.5908732843188512E-2</c:v>
                </c:pt>
                <c:pt idx="1">
                  <c:v>0.1241471978033155</c:v>
                </c:pt>
                <c:pt idx="2">
                  <c:v>0.16909906037408279</c:v>
                </c:pt>
                <c:pt idx="3">
                  <c:v>0.21088394024521959</c:v>
                </c:pt>
                <c:pt idx="4">
                  <c:v>0.25147938858755142</c:v>
                </c:pt>
                <c:pt idx="5">
                  <c:v>0.2950152094806644</c:v>
                </c:pt>
                <c:pt idx="6">
                  <c:v>0.33230957044012166</c:v>
                </c:pt>
                <c:pt idx="7">
                  <c:v>0.37540776372555729</c:v>
                </c:pt>
                <c:pt idx="8">
                  <c:v>0.41006995409967029</c:v>
                </c:pt>
                <c:pt idx="9">
                  <c:v>0.44878180528725042</c:v>
                </c:pt>
                <c:pt idx="10">
                  <c:v>0.49156563669091102</c:v>
                </c:pt>
                <c:pt idx="11">
                  <c:v>0.52882416647362396</c:v>
                </c:pt>
                <c:pt idx="12">
                  <c:v>0.56287566224533503</c:v>
                </c:pt>
                <c:pt idx="13">
                  <c:v>0.60597814181119303</c:v>
                </c:pt>
                <c:pt idx="14">
                  <c:v>0.6494718509822901</c:v>
                </c:pt>
                <c:pt idx="15">
                  <c:v>0.68352705809746395</c:v>
                </c:pt>
                <c:pt idx="16">
                  <c:v>0.72211646119192896</c:v>
                </c:pt>
                <c:pt idx="17">
                  <c:v>0.75517328195285094</c:v>
                </c:pt>
                <c:pt idx="18">
                  <c:v>0.80698428684827095</c:v>
                </c:pt>
                <c:pt idx="19">
                  <c:v>0.82296888571737692</c:v>
                </c:pt>
                <c:pt idx="20">
                  <c:v>0.86115569740324105</c:v>
                </c:pt>
                <c:pt idx="21">
                  <c:v>0.88699845151378809</c:v>
                </c:pt>
                <c:pt idx="22">
                  <c:v>0.91699449074206896</c:v>
                </c:pt>
                <c:pt idx="23">
                  <c:v>0.95093508183915687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D41-4168-B4F3-BC2DDC12C767}"/>
            </c:ext>
          </c:extLst>
        </c:ser>
        <c:ser>
          <c:idx val="5"/>
          <c:order val="2"/>
          <c:tx>
            <c:v>Identity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D41-4168-B4F3-BC2DDC12C767}"/>
            </c:ext>
          </c:extLst>
        </c:ser>
        <c:ser>
          <c:idx val="1"/>
          <c:order val="3"/>
          <c:tx>
            <c:v>MLE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1024'!$B$37:$B$60</c:f>
              <c:numCache>
                <c:formatCode>0.0000</c:formatCode>
                <c:ptCount val="24"/>
                <c:pt idx="0">
                  <c:v>8.5316110402268596E-7</c:v>
                </c:pt>
                <c:pt idx="1">
                  <c:v>8.5316110402268596E-7</c:v>
                </c:pt>
                <c:pt idx="2">
                  <c:v>8.5316110402268596E-7</c:v>
                </c:pt>
                <c:pt idx="3">
                  <c:v>8.5316110402268596E-7</c:v>
                </c:pt>
                <c:pt idx="4">
                  <c:v>8.5316110402268596E-7</c:v>
                </c:pt>
                <c:pt idx="5">
                  <c:v>8.5316110402268596E-7</c:v>
                </c:pt>
                <c:pt idx="6">
                  <c:v>8.5316110402268596E-7</c:v>
                </c:pt>
                <c:pt idx="7">
                  <c:v>8.5316110402268596E-7</c:v>
                </c:pt>
                <c:pt idx="8">
                  <c:v>8.5316110402268596E-7</c:v>
                </c:pt>
                <c:pt idx="9">
                  <c:v>8.5316110402268596E-7</c:v>
                </c:pt>
                <c:pt idx="10">
                  <c:v>8.5316110402268596E-7</c:v>
                </c:pt>
                <c:pt idx="11">
                  <c:v>8.5316110402268596E-7</c:v>
                </c:pt>
                <c:pt idx="12">
                  <c:v>8.5316110402268596E-7</c:v>
                </c:pt>
                <c:pt idx="13">
                  <c:v>8.5316110402268596E-7</c:v>
                </c:pt>
                <c:pt idx="14">
                  <c:v>8.5316110402268596E-7</c:v>
                </c:pt>
                <c:pt idx="15">
                  <c:v>8.5316110402268596E-7</c:v>
                </c:pt>
                <c:pt idx="16">
                  <c:v>8.5316110402268596E-7</c:v>
                </c:pt>
                <c:pt idx="17">
                  <c:v>8.5316110402268596E-7</c:v>
                </c:pt>
                <c:pt idx="18">
                  <c:v>8.5316110402268596E-7</c:v>
                </c:pt>
                <c:pt idx="19">
                  <c:v>8.5316110402268596E-7</c:v>
                </c:pt>
                <c:pt idx="20">
                  <c:v>8.5316110402268596E-7</c:v>
                </c:pt>
                <c:pt idx="21">
                  <c:v>8.5316110402268596E-7</c:v>
                </c:pt>
                <c:pt idx="22">
                  <c:v>8.5316110402268596E-7</c:v>
                </c:pt>
                <c:pt idx="23">
                  <c:v>8.5316110402268596E-7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D41-4168-B4F3-BC2DDC12C767}"/>
            </c:ext>
          </c:extLst>
        </c:ser>
        <c:ser>
          <c:idx val="4"/>
          <c:order val="4"/>
          <c:tx>
            <c:v>MLE -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1024'!$C$37:$C$60</c:f>
              <c:numCache>
                <c:formatCode>0.0000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6D41-4168-B4F3-BC2DDC12C767}"/>
            </c:ext>
          </c:extLst>
        </c:ser>
        <c:ser>
          <c:idx val="6"/>
          <c:order val="5"/>
          <c:tx>
            <c:v>MLE +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1024'!$D$37:$D$60</c:f>
              <c:numCache>
                <c:formatCode>0.0000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6D41-4168-B4F3-BC2DDC12C767}"/>
            </c:ext>
          </c:extLst>
        </c:ser>
        <c:ser>
          <c:idx val="7"/>
          <c:order val="6"/>
          <c:tx>
            <c:v>MLE -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1024'!$E$37:$E$60</c:f>
              <c:numCache>
                <c:formatCode>0.0000</c:formatCode>
                <c:ptCount val="24"/>
                <c:pt idx="0">
                  <c:v>8.5316110402267992E-7</c:v>
                </c:pt>
                <c:pt idx="1">
                  <c:v>8.5316110402267992E-7</c:v>
                </c:pt>
                <c:pt idx="2">
                  <c:v>8.5316110402267992E-7</c:v>
                </c:pt>
                <c:pt idx="3">
                  <c:v>8.5316110402267992E-7</c:v>
                </c:pt>
                <c:pt idx="4">
                  <c:v>8.5316110402267992E-7</c:v>
                </c:pt>
                <c:pt idx="5">
                  <c:v>8.5316110402267992E-7</c:v>
                </c:pt>
                <c:pt idx="6">
                  <c:v>8.5316110402267992E-7</c:v>
                </c:pt>
                <c:pt idx="7">
                  <c:v>8.5316110402267992E-7</c:v>
                </c:pt>
                <c:pt idx="8">
                  <c:v>8.5316110402267992E-7</c:v>
                </c:pt>
                <c:pt idx="9">
                  <c:v>8.5316110402267992E-7</c:v>
                </c:pt>
                <c:pt idx="10">
                  <c:v>8.5316110402267992E-7</c:v>
                </c:pt>
                <c:pt idx="11">
                  <c:v>8.5316110402267992E-7</c:v>
                </c:pt>
                <c:pt idx="12">
                  <c:v>8.5316110402267992E-7</c:v>
                </c:pt>
                <c:pt idx="13">
                  <c:v>8.5316110402267992E-7</c:v>
                </c:pt>
                <c:pt idx="14">
                  <c:v>8.5316110402267992E-7</c:v>
                </c:pt>
                <c:pt idx="15">
                  <c:v>8.5316110402267992E-7</c:v>
                </c:pt>
                <c:pt idx="16">
                  <c:v>8.5316110402267992E-7</c:v>
                </c:pt>
                <c:pt idx="17">
                  <c:v>8.5316110402267992E-7</c:v>
                </c:pt>
                <c:pt idx="18">
                  <c:v>8.5316110402267992E-7</c:v>
                </c:pt>
                <c:pt idx="19">
                  <c:v>8.5316110402267992E-7</c:v>
                </c:pt>
                <c:pt idx="20">
                  <c:v>8.5316110402267992E-7</c:v>
                </c:pt>
                <c:pt idx="21">
                  <c:v>8.5316110402267992E-7</c:v>
                </c:pt>
                <c:pt idx="22">
                  <c:v>8.5316110402267992E-7</c:v>
                </c:pt>
                <c:pt idx="23">
                  <c:v>8.5316110402267992E-7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6D41-4168-B4F3-BC2DDC12C767}"/>
            </c:ext>
          </c:extLst>
        </c:ser>
        <c:ser>
          <c:idx val="8"/>
          <c:order val="7"/>
          <c:tx>
            <c:v>MLE +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1024'!$F$37:$F$60</c:f>
              <c:numCache>
                <c:formatCode>0.0000</c:formatCode>
                <c:ptCount val="24"/>
                <c:pt idx="0">
                  <c:v>8.5316110402269199E-7</c:v>
                </c:pt>
                <c:pt idx="1">
                  <c:v>8.5316110402269199E-7</c:v>
                </c:pt>
                <c:pt idx="2">
                  <c:v>8.5316110402269199E-7</c:v>
                </c:pt>
                <c:pt idx="3">
                  <c:v>8.5316110402269199E-7</c:v>
                </c:pt>
                <c:pt idx="4">
                  <c:v>8.5316110402269199E-7</c:v>
                </c:pt>
                <c:pt idx="5">
                  <c:v>8.5316110402269199E-7</c:v>
                </c:pt>
                <c:pt idx="6">
                  <c:v>8.5316110402269199E-7</c:v>
                </c:pt>
                <c:pt idx="7">
                  <c:v>8.5316110402269199E-7</c:v>
                </c:pt>
                <c:pt idx="8">
                  <c:v>8.5316110402269199E-7</c:v>
                </c:pt>
                <c:pt idx="9">
                  <c:v>8.5316110402269199E-7</c:v>
                </c:pt>
                <c:pt idx="10">
                  <c:v>8.5316110402269199E-7</c:v>
                </c:pt>
                <c:pt idx="11">
                  <c:v>8.5316110402269199E-7</c:v>
                </c:pt>
                <c:pt idx="12">
                  <c:v>8.5316110402269199E-7</c:v>
                </c:pt>
                <c:pt idx="13">
                  <c:v>8.5316110402269199E-7</c:v>
                </c:pt>
                <c:pt idx="14">
                  <c:v>8.5316110402269199E-7</c:v>
                </c:pt>
                <c:pt idx="15">
                  <c:v>8.5316110402269199E-7</c:v>
                </c:pt>
                <c:pt idx="16">
                  <c:v>8.5316110402269199E-7</c:v>
                </c:pt>
                <c:pt idx="17">
                  <c:v>8.5316110402269199E-7</c:v>
                </c:pt>
                <c:pt idx="18">
                  <c:v>8.5316110402269199E-7</c:v>
                </c:pt>
                <c:pt idx="19">
                  <c:v>8.5316110402269199E-7</c:v>
                </c:pt>
                <c:pt idx="20">
                  <c:v>8.5316110402269199E-7</c:v>
                </c:pt>
                <c:pt idx="21">
                  <c:v>8.5316110402269199E-7</c:v>
                </c:pt>
                <c:pt idx="22">
                  <c:v>8.5316110402269199E-7</c:v>
                </c:pt>
                <c:pt idx="23">
                  <c:v>8.5316110402269199E-7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6D41-4168-B4F3-BC2DDC12C767}"/>
            </c:ext>
          </c:extLst>
        </c:ser>
        <c:ser>
          <c:idx val="2"/>
          <c:order val="8"/>
          <c:tx>
            <c:v>MLE_EM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1024'!$G$37:$G$60</c:f>
              <c:numCache>
                <c:formatCode>0.0000</c:formatCode>
                <c:ptCount val="24"/>
                <c:pt idx="0">
                  <c:v>8.1794672397526497E-2</c:v>
                </c:pt>
                <c:pt idx="1">
                  <c:v>0.135103190409879</c:v>
                </c:pt>
                <c:pt idx="2">
                  <c:v>0.18614027473920899</c:v>
                </c:pt>
                <c:pt idx="3">
                  <c:v>0.23711339950676799</c:v>
                </c:pt>
                <c:pt idx="4">
                  <c:v>0.284985828534356</c:v>
                </c:pt>
                <c:pt idx="5">
                  <c:v>0.33537241771722998</c:v>
                </c:pt>
                <c:pt idx="6">
                  <c:v>0.38250364091364097</c:v>
                </c:pt>
                <c:pt idx="7">
                  <c:v>0.43800042818235801</c:v>
                </c:pt>
                <c:pt idx="8">
                  <c:v>0.48426815523317501</c:v>
                </c:pt>
                <c:pt idx="9">
                  <c:v>0.53216511522704002</c:v>
                </c:pt>
                <c:pt idx="10">
                  <c:v>0.58861401676955405</c:v>
                </c:pt>
                <c:pt idx="11">
                  <c:v>0.63539742162391799</c:v>
                </c:pt>
                <c:pt idx="12">
                  <c:v>0.68192686481788201</c:v>
                </c:pt>
                <c:pt idx="13">
                  <c:v>0.73389108939040304</c:v>
                </c:pt>
                <c:pt idx="14">
                  <c:v>0.79646855940263805</c:v>
                </c:pt>
                <c:pt idx="15">
                  <c:v>0.85128156995367299</c:v>
                </c:pt>
                <c:pt idx="16">
                  <c:v>0.91729983152064098</c:v>
                </c:pt>
                <c:pt idx="17">
                  <c:v>0.96081147016714896</c:v>
                </c:pt>
                <c:pt idx="18">
                  <c:v>1.0301036996272299</c:v>
                </c:pt>
                <c:pt idx="19">
                  <c:v>1.0774186189799499</c:v>
                </c:pt>
                <c:pt idx="20">
                  <c:v>1.13477064813127</c:v>
                </c:pt>
                <c:pt idx="21">
                  <c:v>1.18758940751188</c:v>
                </c:pt>
                <c:pt idx="22">
                  <c:v>1.20974596131437</c:v>
                </c:pt>
                <c:pt idx="23">
                  <c:v>1.2513452652305399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6D41-4168-B4F3-BC2DDC12C767}"/>
            </c:ext>
          </c:extLst>
        </c:ser>
        <c:ser>
          <c:idx val="9"/>
          <c:order val="9"/>
          <c:tx>
            <c:v>MLE_EM -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1024'!$H$37:$H$59</c:f>
              <c:numCache>
                <c:formatCode>0.0000</c:formatCode>
                <c:ptCount val="23"/>
                <c:pt idx="0">
                  <c:v>7.7057485232485928E-2</c:v>
                </c:pt>
                <c:pt idx="1">
                  <c:v>0.12504183836101501</c:v>
                </c:pt>
                <c:pt idx="2">
                  <c:v>0.1698581234095945</c:v>
                </c:pt>
                <c:pt idx="3">
                  <c:v>0.21367124399514778</c:v>
                </c:pt>
                <c:pt idx="4">
                  <c:v>0.25407915219279248</c:v>
                </c:pt>
                <c:pt idx="5">
                  <c:v>0.29590727297309588</c:v>
                </c:pt>
                <c:pt idx="6">
                  <c:v>0.33438546513984369</c:v>
                </c:pt>
                <c:pt idx="7">
                  <c:v>0.37897149831382121</c:v>
                </c:pt>
                <c:pt idx="8">
                  <c:v>0.41556873326905913</c:v>
                </c:pt>
                <c:pt idx="9">
                  <c:v>0.45299402050193793</c:v>
                </c:pt>
                <c:pt idx="10">
                  <c:v>0.49642608487499174</c:v>
                </c:pt>
                <c:pt idx="11">
                  <c:v>0.53197169794189803</c:v>
                </c:pt>
                <c:pt idx="12">
                  <c:v>0.56684855091489306</c:v>
                </c:pt>
                <c:pt idx="13">
                  <c:v>0.60540163135268399</c:v>
                </c:pt>
                <c:pt idx="14">
                  <c:v>0.65100703357762602</c:v>
                </c:pt>
                <c:pt idx="15">
                  <c:v>0.69028149933787197</c:v>
                </c:pt>
                <c:pt idx="16">
                  <c:v>0.73681966632464102</c:v>
                </c:pt>
                <c:pt idx="17">
                  <c:v>0.76728417101166402</c:v>
                </c:pt>
                <c:pt idx="18">
                  <c:v>0.8151903581531339</c:v>
                </c:pt>
                <c:pt idx="19">
                  <c:v>0.846887384587935</c:v>
                </c:pt>
                <c:pt idx="20">
                  <c:v>0.88535443419318804</c:v>
                </c:pt>
                <c:pt idx="21">
                  <c:v>0.92001429401688206</c:v>
                </c:pt>
                <c:pt idx="22">
                  <c:v>0.93512967532053093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6D41-4168-B4F3-BC2DDC12C767}"/>
            </c:ext>
          </c:extLst>
        </c:ser>
        <c:ser>
          <c:idx val="0"/>
          <c:order val="1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6D41-4168-B4F3-BC2DDC12C767}"/>
            </c:ext>
          </c:extLst>
        </c:ser>
        <c:ser>
          <c:idx val="10"/>
          <c:order val="11"/>
          <c:tx>
            <c:v>MLE_EM +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1024'!$A$37:$A$59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1024'!$I$37:$I$60</c:f>
              <c:numCache>
                <c:formatCode>0.0000</c:formatCode>
                <c:ptCount val="24"/>
                <c:pt idx="0">
                  <c:v>8.6531859562567065E-2</c:v>
                </c:pt>
                <c:pt idx="1">
                  <c:v>0.145164542458743</c:v>
                </c:pt>
                <c:pt idx="2">
                  <c:v>0.20242242606882349</c:v>
                </c:pt>
                <c:pt idx="3">
                  <c:v>0.26055555501838817</c:v>
                </c:pt>
                <c:pt idx="4">
                  <c:v>0.31589250487591952</c:v>
                </c:pt>
                <c:pt idx="5">
                  <c:v>0.37483756246136407</c:v>
                </c:pt>
                <c:pt idx="6">
                  <c:v>0.43062181668743826</c:v>
                </c:pt>
                <c:pt idx="7">
                  <c:v>0.49702935805089482</c:v>
                </c:pt>
                <c:pt idx="8">
                  <c:v>0.55296757719729095</c:v>
                </c:pt>
                <c:pt idx="9">
                  <c:v>0.61133620995214211</c:v>
                </c:pt>
                <c:pt idx="10">
                  <c:v>0.68080194866411636</c:v>
                </c:pt>
                <c:pt idx="11">
                  <c:v>0.73882314530593796</c:v>
                </c:pt>
                <c:pt idx="12">
                  <c:v>0.79700517872087095</c:v>
                </c:pt>
                <c:pt idx="13">
                  <c:v>0.86238054742812209</c:v>
                </c:pt>
                <c:pt idx="14">
                  <c:v>0.94193008522765009</c:v>
                </c:pt>
                <c:pt idx="15">
                  <c:v>1.0122816405694739</c:v>
                </c:pt>
                <c:pt idx="16">
                  <c:v>1.0977799967166411</c:v>
                </c:pt>
                <c:pt idx="17">
                  <c:v>1.1543387693226339</c:v>
                </c:pt>
                <c:pt idx="18">
                  <c:v>1.2450170411013259</c:v>
                </c:pt>
                <c:pt idx="19">
                  <c:v>1.3079498533719649</c:v>
                </c:pt>
                <c:pt idx="20">
                  <c:v>1.384186862069352</c:v>
                </c:pt>
                <c:pt idx="21">
                  <c:v>1.455164521006878</c:v>
                </c:pt>
                <c:pt idx="22">
                  <c:v>1.484362247308209</c:v>
                </c:pt>
                <c:pt idx="23">
                  <c:v>1.5401324136000809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6D41-4168-B4F3-BC2DDC12C767}"/>
            </c:ext>
          </c:extLst>
        </c:ser>
        <c:ser>
          <c:idx val="12"/>
          <c:order val="12"/>
          <c:tx>
            <c:v>MLE_EM +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1024'!$K$37:$K$60</c:f>
              <c:numCache>
                <c:formatCode>0.0000</c:formatCode>
                <c:ptCount val="24"/>
                <c:pt idx="0">
                  <c:v>8.7680611951864482E-2</c:v>
                </c:pt>
                <c:pt idx="1">
                  <c:v>0.1460591830164425</c:v>
                </c:pt>
                <c:pt idx="2">
                  <c:v>0.2031814891043352</c:v>
                </c:pt>
                <c:pt idx="3">
                  <c:v>0.26334285876831637</c:v>
                </c:pt>
                <c:pt idx="4">
                  <c:v>0.31849226848116058</c:v>
                </c:pt>
                <c:pt idx="5">
                  <c:v>0.37572962595379555</c:v>
                </c:pt>
                <c:pt idx="6">
                  <c:v>0.43269771138716029</c:v>
                </c:pt>
                <c:pt idx="7">
                  <c:v>0.50059309263915874</c:v>
                </c:pt>
                <c:pt idx="8">
                  <c:v>0.55846635636667974</c:v>
                </c:pt>
                <c:pt idx="9">
                  <c:v>0.61554842516682962</c:v>
                </c:pt>
                <c:pt idx="10">
                  <c:v>0.68566239684819708</c:v>
                </c:pt>
                <c:pt idx="11">
                  <c:v>0.74197067677421202</c:v>
                </c:pt>
                <c:pt idx="12">
                  <c:v>0.80097806739042898</c:v>
                </c:pt>
                <c:pt idx="13">
                  <c:v>0.86180403696961305</c:v>
                </c:pt>
                <c:pt idx="14">
                  <c:v>0.94346526782298601</c:v>
                </c:pt>
                <c:pt idx="15">
                  <c:v>1.019036081809882</c:v>
                </c:pt>
                <c:pt idx="16">
                  <c:v>1.1124832018493529</c:v>
                </c:pt>
                <c:pt idx="17">
                  <c:v>1.166449658381447</c:v>
                </c:pt>
                <c:pt idx="18">
                  <c:v>1.253223112406189</c:v>
                </c:pt>
                <c:pt idx="19">
                  <c:v>1.331868352242523</c:v>
                </c:pt>
                <c:pt idx="20">
                  <c:v>1.408385598859299</c:v>
                </c:pt>
                <c:pt idx="21">
                  <c:v>1.488180363509972</c:v>
                </c:pt>
                <c:pt idx="22">
                  <c:v>1.5024974318866708</c:v>
                </c:pt>
                <c:pt idx="23">
                  <c:v>1.5517554486219229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6D41-4168-B4F3-BC2DDC12C767}"/>
            </c:ext>
          </c:extLst>
        </c:ser>
        <c:ser>
          <c:idx val="13"/>
          <c:order val="13"/>
          <c:tx>
            <c:v>MOM -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1024'!$M$37:$M$60</c:f>
              <c:numCache>
                <c:formatCode>0.0000</c:formatCode>
                <c:ptCount val="24"/>
                <c:pt idx="0">
                  <c:v>0.25823169613703439</c:v>
                </c:pt>
                <c:pt idx="1">
                  <c:v>0.25823169613703439</c:v>
                </c:pt>
                <c:pt idx="2">
                  <c:v>0.25823169613703439</c:v>
                </c:pt>
                <c:pt idx="3">
                  <c:v>0.2587476950422713</c:v>
                </c:pt>
                <c:pt idx="4">
                  <c:v>0.26753589147440421</c:v>
                </c:pt>
                <c:pt idx="5">
                  <c:v>0.2970872204856852</c:v>
                </c:pt>
                <c:pt idx="6">
                  <c:v>0.33392860422896981</c:v>
                </c:pt>
                <c:pt idx="7">
                  <c:v>0.37959839061018469</c:v>
                </c:pt>
                <c:pt idx="8">
                  <c:v>0.41685380977219688</c:v>
                </c:pt>
                <c:pt idx="9">
                  <c:v>0.45285894070071153</c:v>
                </c:pt>
                <c:pt idx="10">
                  <c:v>0.49596090938900539</c:v>
                </c:pt>
                <c:pt idx="11">
                  <c:v>0.53167358036503598</c:v>
                </c:pt>
                <c:pt idx="12">
                  <c:v>0.55166560818393295</c:v>
                </c:pt>
                <c:pt idx="13">
                  <c:v>0.57430869777596993</c:v>
                </c:pt>
                <c:pt idx="14">
                  <c:v>0.55200502940122698</c:v>
                </c:pt>
                <c:pt idx="15">
                  <c:v>0.56572181107866593</c:v>
                </c:pt>
                <c:pt idx="16">
                  <c:v>0.53238624982157101</c:v>
                </c:pt>
                <c:pt idx="17">
                  <c:v>0.43876258136369495</c:v>
                </c:pt>
                <c:pt idx="18">
                  <c:v>0.38756584787637294</c:v>
                </c:pt>
                <c:pt idx="19">
                  <c:v>0.28469757056285994</c:v>
                </c:pt>
                <c:pt idx="20">
                  <c:v>0.31408889678935104</c:v>
                </c:pt>
                <c:pt idx="21">
                  <c:v>0.27034932041374804</c:v>
                </c:pt>
                <c:pt idx="22">
                  <c:v>0.32194589505097704</c:v>
                </c:pt>
                <c:pt idx="23">
                  <c:v>0.28868709665409098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6D41-4168-B4F3-BC2DDC12C767}"/>
            </c:ext>
          </c:extLst>
        </c:ser>
        <c:ser>
          <c:idx val="14"/>
          <c:order val="14"/>
          <c:tx>
            <c:v>MOM +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1024'!$N$37:$N$60</c:f>
              <c:numCache>
                <c:formatCode>0.0000</c:formatCode>
                <c:ptCount val="24"/>
                <c:pt idx="0">
                  <c:v>0.32126589607811357</c:v>
                </c:pt>
                <c:pt idx="1">
                  <c:v>0.32126589607811357</c:v>
                </c:pt>
                <c:pt idx="2">
                  <c:v>0.32126589607811357</c:v>
                </c:pt>
                <c:pt idx="3">
                  <c:v>0.32199167772762266</c:v>
                </c:pt>
                <c:pt idx="4">
                  <c:v>0.33439539350079178</c:v>
                </c:pt>
                <c:pt idx="5">
                  <c:v>0.3764488394304048</c:v>
                </c:pt>
                <c:pt idx="6">
                  <c:v>0.42999916037478819</c:v>
                </c:pt>
                <c:pt idx="7">
                  <c:v>0.49784146418245129</c:v>
                </c:pt>
                <c:pt idx="8">
                  <c:v>0.55483890301928307</c:v>
                </c:pt>
                <c:pt idx="9">
                  <c:v>0.61088118418476256</c:v>
                </c:pt>
                <c:pt idx="10">
                  <c:v>0.6795085637342666</c:v>
                </c:pt>
                <c:pt idx="11">
                  <c:v>0.738202416503004</c:v>
                </c:pt>
                <c:pt idx="12">
                  <c:v>0.81239514950706904</c:v>
                </c:pt>
                <c:pt idx="13">
                  <c:v>0.89771102909953604</c:v>
                </c:pt>
                <c:pt idx="14">
                  <c:v>1.057631368107629</c:v>
                </c:pt>
                <c:pt idx="15">
                  <c:v>1.158589580121766</c:v>
                </c:pt>
                <c:pt idx="16">
                  <c:v>1.327071959254893</c:v>
                </c:pt>
                <c:pt idx="17">
                  <c:v>1.5282077304017911</c:v>
                </c:pt>
                <c:pt idx="18">
                  <c:v>1.7255785498628269</c:v>
                </c:pt>
                <c:pt idx="19">
                  <c:v>1.8944781835495799</c:v>
                </c:pt>
                <c:pt idx="20">
                  <c:v>1.9731553380142088</c:v>
                </c:pt>
                <c:pt idx="21">
                  <c:v>2.0794338445425922</c:v>
                </c:pt>
                <c:pt idx="22">
                  <c:v>2.0407445862252027</c:v>
                </c:pt>
                <c:pt idx="23">
                  <c:v>2.1481363941122291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6D41-4168-B4F3-BC2DDC12C767}"/>
            </c:ext>
          </c:extLst>
        </c:ser>
        <c:ser>
          <c:idx val="15"/>
          <c:order val="15"/>
          <c:tx>
            <c:v>MOM -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1024'!$O$37:$O$60</c:f>
              <c:numCache>
                <c:formatCode>0.0000</c:formatCode>
                <c:ptCount val="24"/>
                <c:pt idx="0">
                  <c:v>0.28974879610757254</c:v>
                </c:pt>
                <c:pt idx="1">
                  <c:v>0.28974879610757254</c:v>
                </c:pt>
                <c:pt idx="2">
                  <c:v>0.28974879610757254</c:v>
                </c:pt>
                <c:pt idx="3">
                  <c:v>0.2853357861888996</c:v>
                </c:pt>
                <c:pt idx="4">
                  <c:v>0.27906529409675507</c:v>
                </c:pt>
                <c:pt idx="5">
                  <c:v>0.29813805078649652</c:v>
                </c:pt>
                <c:pt idx="6">
                  <c:v>0.32955285830441927</c:v>
                </c:pt>
                <c:pt idx="7">
                  <c:v>0.37552449706456759</c:v>
                </c:pt>
                <c:pt idx="8">
                  <c:v>0.41128265725352597</c:v>
                </c:pt>
                <c:pt idx="9">
                  <c:v>0.44878774660483622</c:v>
                </c:pt>
                <c:pt idx="10">
                  <c:v>0.49031726583878638</c:v>
                </c:pt>
                <c:pt idx="11">
                  <c:v>0.52595794008235397</c:v>
                </c:pt>
                <c:pt idx="12">
                  <c:v>0.55620011822845905</c:v>
                </c:pt>
                <c:pt idx="13">
                  <c:v>0.59393359365207199</c:v>
                </c:pt>
                <c:pt idx="14">
                  <c:v>0.63395003078626488</c:v>
                </c:pt>
                <c:pt idx="15">
                  <c:v>0.67327919673236702</c:v>
                </c:pt>
                <c:pt idx="16">
                  <c:v>0.713630621575437</c:v>
                </c:pt>
                <c:pt idx="17">
                  <c:v>0.74988181051867298</c:v>
                </c:pt>
                <c:pt idx="18">
                  <c:v>0.80903226499367797</c:v>
                </c:pt>
                <c:pt idx="19">
                  <c:v>0.82374839090651897</c:v>
                </c:pt>
                <c:pt idx="20">
                  <c:v>0.87145838190708902</c:v>
                </c:pt>
                <c:pt idx="21">
                  <c:v>0.89444183014084011</c:v>
                </c:pt>
                <c:pt idx="22">
                  <c:v>0.88857485719615004</c:v>
                </c:pt>
                <c:pt idx="23">
                  <c:v>0.91970494139121306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6D41-4168-B4F3-BC2DDC12C767}"/>
            </c:ext>
          </c:extLst>
        </c:ser>
        <c:ser>
          <c:idx val="16"/>
          <c:order val="16"/>
          <c:tx>
            <c:v>MOM +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1024'!$A$37:$A$60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1024'!$P$37:$P$60</c:f>
              <c:numCache>
                <c:formatCode>0.0000</c:formatCode>
                <c:ptCount val="24"/>
                <c:pt idx="0">
                  <c:v>0.28974879610757542</c:v>
                </c:pt>
                <c:pt idx="1">
                  <c:v>0.28974879610757542</c:v>
                </c:pt>
                <c:pt idx="2">
                  <c:v>0.28974879610757542</c:v>
                </c:pt>
                <c:pt idx="3">
                  <c:v>0.29540358658099436</c:v>
                </c:pt>
                <c:pt idx="4">
                  <c:v>0.32286599087844092</c:v>
                </c:pt>
                <c:pt idx="5">
                  <c:v>0.37539800912959348</c:v>
                </c:pt>
                <c:pt idx="6">
                  <c:v>0.43437490629933873</c:v>
                </c:pt>
                <c:pt idx="7">
                  <c:v>0.50191535772806839</c:v>
                </c:pt>
                <c:pt idx="8">
                  <c:v>0.56041005553795398</c:v>
                </c:pt>
                <c:pt idx="9">
                  <c:v>0.61495237828063787</c:v>
                </c:pt>
                <c:pt idx="10">
                  <c:v>0.68515220728448556</c:v>
                </c:pt>
                <c:pt idx="11">
                  <c:v>0.74391805678568601</c:v>
                </c:pt>
                <c:pt idx="12">
                  <c:v>0.80786063946254294</c:v>
                </c:pt>
                <c:pt idx="13">
                  <c:v>0.87808613322343398</c:v>
                </c:pt>
                <c:pt idx="14">
                  <c:v>0.97568636672259101</c:v>
                </c:pt>
                <c:pt idx="15">
                  <c:v>1.051032194468065</c:v>
                </c:pt>
                <c:pt idx="16">
                  <c:v>1.1458275875010271</c:v>
                </c:pt>
                <c:pt idx="17">
                  <c:v>1.2170885012468129</c:v>
                </c:pt>
                <c:pt idx="18">
                  <c:v>1.3041121327455221</c:v>
                </c:pt>
                <c:pt idx="19">
                  <c:v>1.3554273632059211</c:v>
                </c:pt>
                <c:pt idx="20">
                  <c:v>1.4157858528964709</c:v>
                </c:pt>
                <c:pt idx="21">
                  <c:v>1.4553413348155</c:v>
                </c:pt>
                <c:pt idx="22">
                  <c:v>1.4741156240800299</c:v>
                </c:pt>
                <c:pt idx="23">
                  <c:v>1.5171185493751069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6D41-4168-B4F3-BC2DDC12C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301696"/>
        <c:axId val="212316160"/>
      </c:scatterChart>
      <c:valAx>
        <c:axId val="21230169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-25000"/>
                  <a:t>10</a:t>
                </a:r>
                <a:r>
                  <a:rPr lang="en-US"/>
                  <a:t> R_0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16160"/>
        <c:crosses val="autoZero"/>
        <c:crossBetween val="midCat"/>
        <c:minorUnit val="0.1"/>
      </c:valAx>
      <c:valAx>
        <c:axId val="21231616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</a:t>
                </a:r>
                <a:r>
                  <a:rPr lang="en-US" baseline="0"/>
                  <a:t> log</a:t>
                </a:r>
                <a:r>
                  <a:rPr lang="en-US" baseline="-25000"/>
                  <a:t>10</a:t>
                </a:r>
                <a:r>
                  <a:rPr lang="en-US" baseline="0"/>
                  <a:t> R_0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01696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161925</xdr:colOff>
      <xdr:row>0</xdr:row>
      <xdr:rowOff>123825</xdr:rowOff>
    </xdr:from>
    <xdr:to>
      <xdr:col>24</xdr:col>
      <xdr:colOff>571500</xdr:colOff>
      <xdr:row>24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AEDBE7A4-62C8-435F-BDD0-A8ABEA201A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171450</xdr:colOff>
      <xdr:row>0</xdr:row>
      <xdr:rowOff>142875</xdr:rowOff>
    </xdr:from>
    <xdr:to>
      <xdr:col>24</xdr:col>
      <xdr:colOff>581025</xdr:colOff>
      <xdr:row>24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1532310-6E17-4ABE-AFDE-C6093D23B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142875</xdr:colOff>
      <xdr:row>0</xdr:row>
      <xdr:rowOff>85725</xdr:rowOff>
    </xdr:from>
    <xdr:to>
      <xdr:col>24</xdr:col>
      <xdr:colOff>552450</xdr:colOff>
      <xdr:row>24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26D53E4-23F5-4859-92A1-2B7A0D9B5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180975</xdr:colOff>
      <xdr:row>0</xdr:row>
      <xdr:rowOff>133350</xdr:rowOff>
    </xdr:from>
    <xdr:to>
      <xdr:col>24</xdr:col>
      <xdr:colOff>590550</xdr:colOff>
      <xdr:row>24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E4C08D61-0CBA-454C-97B2-881287293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133349</xdr:colOff>
      <xdr:row>0</xdr:row>
      <xdr:rowOff>47624</xdr:rowOff>
    </xdr:from>
    <xdr:to>
      <xdr:col>24</xdr:col>
      <xdr:colOff>638175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A76F4FDA-0E8F-4303-9B03-15FE57749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284629</xdr:colOff>
      <xdr:row>0</xdr:row>
      <xdr:rowOff>110378</xdr:rowOff>
    </xdr:from>
    <xdr:to>
      <xdr:col>24</xdr:col>
      <xdr:colOff>589430</xdr:colOff>
      <xdr:row>24</xdr:row>
      <xdr:rowOff>62752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15B3D9AD-BBE3-49F6-96B6-4B29753C1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176493</xdr:colOff>
      <xdr:row>0</xdr:row>
      <xdr:rowOff>92449</xdr:rowOff>
    </xdr:from>
    <xdr:to>
      <xdr:col>24</xdr:col>
      <xdr:colOff>588870</xdr:colOff>
      <xdr:row>24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D6D5ECFB-FB21-4C24-AFE5-59409B4FC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176493</xdr:colOff>
      <xdr:row>0</xdr:row>
      <xdr:rowOff>92449</xdr:rowOff>
    </xdr:from>
    <xdr:to>
      <xdr:col>24</xdr:col>
      <xdr:colOff>588870</xdr:colOff>
      <xdr:row>24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D6D5ECFB-FB21-4C24-AFE5-59409B4FC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zoomScaleNormal="100" workbookViewId="0">
      <selection activeCell="A10" sqref="A10:N34"/>
    </sheetView>
  </sheetViews>
  <sheetFormatPr defaultColWidth="10.7109375" defaultRowHeight="15" x14ac:dyDescent="0.25"/>
  <cols>
    <col min="1" max="1" width="10.7109375" style="1"/>
    <col min="2" max="2" width="10.7109375" style="1" customWidth="1"/>
    <col min="3" max="16384" width="10.7109375" style="1"/>
  </cols>
  <sheetData>
    <row r="1" spans="1:17" x14ac:dyDescent="0.25">
      <c r="A1" s="1" t="s">
        <v>0</v>
      </c>
      <c r="B1" s="9">
        <v>8</v>
      </c>
      <c r="C1" s="9"/>
    </row>
    <row r="2" spans="1:17" x14ac:dyDescent="0.25">
      <c r="A2" s="1" t="s">
        <v>1</v>
      </c>
      <c r="B2" s="9">
        <v>100</v>
      </c>
      <c r="C2" s="9"/>
    </row>
    <row r="3" spans="1:17" x14ac:dyDescent="0.25">
      <c r="A3" s="1" t="s">
        <v>2</v>
      </c>
      <c r="B3" s="9">
        <v>1</v>
      </c>
      <c r="C3" s="9"/>
    </row>
    <row r="4" spans="1:17" x14ac:dyDescent="0.25">
      <c r="A4" s="1" t="s">
        <v>3</v>
      </c>
      <c r="B4" s="9">
        <v>10</v>
      </c>
      <c r="C4" s="9"/>
    </row>
    <row r="5" spans="1:17" x14ac:dyDescent="0.25">
      <c r="A5" s="1" t="s">
        <v>4</v>
      </c>
      <c r="B5" s="10">
        <v>1.1000000000000001</v>
      </c>
      <c r="C5" s="10"/>
    </row>
    <row r="6" spans="1:17" x14ac:dyDescent="0.25">
      <c r="A6" s="1" t="s">
        <v>5</v>
      </c>
      <c r="B6" s="10">
        <v>5.5100000000000003E-2</v>
      </c>
      <c r="C6" s="10"/>
    </row>
    <row r="7" spans="1:17" x14ac:dyDescent="0.25">
      <c r="A7" s="1" t="s">
        <v>6</v>
      </c>
      <c r="B7" s="8">
        <v>161803398874989</v>
      </c>
      <c r="C7" s="8"/>
    </row>
    <row r="10" spans="1:17" x14ac:dyDescent="0.25">
      <c r="A10" t="s">
        <v>7</v>
      </c>
      <c r="B10" t="s">
        <v>40</v>
      </c>
      <c r="C10" t="s">
        <v>9</v>
      </c>
      <c r="D10" t="s">
        <v>41</v>
      </c>
      <c r="E10" t="s">
        <v>11</v>
      </c>
      <c r="F10" t="s">
        <v>12</v>
      </c>
      <c r="G10" t="s">
        <v>13</v>
      </c>
      <c r="H10" t="s">
        <v>42</v>
      </c>
      <c r="I10" t="s">
        <v>15</v>
      </c>
      <c r="J10" t="s">
        <v>16</v>
      </c>
      <c r="K10" t="s">
        <v>17</v>
      </c>
      <c r="L10" t="s">
        <v>43</v>
      </c>
      <c r="M10" t="s">
        <v>19</v>
      </c>
      <c r="N10" t="s">
        <v>20</v>
      </c>
      <c r="O10" s="2" t="s">
        <v>38</v>
      </c>
      <c r="P10" s="2" t="s">
        <v>39</v>
      </c>
      <c r="Q10" s="1" t="s">
        <v>36</v>
      </c>
    </row>
    <row r="11" spans="1:17" x14ac:dyDescent="0.25">
      <c r="A11">
        <v>1.1000000000000001</v>
      </c>
      <c r="B11">
        <v>4.1392685158224501E-2</v>
      </c>
      <c r="C11">
        <v>1.1761005069014501</v>
      </c>
      <c r="D11">
        <v>6.7791925539409298E-2</v>
      </c>
      <c r="E11">
        <v>2.38997168559189E-3</v>
      </c>
      <c r="F11">
        <v>4.7109468879117003E-2</v>
      </c>
      <c r="G11">
        <v>1.1761539994980399</v>
      </c>
      <c r="H11">
        <v>6.7809393768093307E-2</v>
      </c>
      <c r="I11">
        <v>5.1664443347839602E-2</v>
      </c>
      <c r="J11">
        <v>4.7130066869223303E-2</v>
      </c>
      <c r="K11">
        <v>1.1875720999999999</v>
      </c>
      <c r="L11">
        <v>7.2023272175311098E-2</v>
      </c>
      <c r="M11">
        <v>5.5178038046815599E-2</v>
      </c>
      <c r="N11">
        <v>4.6824617351056599E-2</v>
      </c>
      <c r="O11" s="2">
        <v>1000</v>
      </c>
      <c r="P11" s="2">
        <v>0</v>
      </c>
      <c r="Q11" s="1">
        <v>0</v>
      </c>
    </row>
    <row r="12" spans="1:17" x14ac:dyDescent="0.25">
      <c r="A12">
        <v>1.21000000000001</v>
      </c>
      <c r="B12">
        <v>8.2785370316449003E-2</v>
      </c>
      <c r="C12">
        <v>1.2555289325546199</v>
      </c>
      <c r="D12">
        <v>9.5989523778402794E-2</v>
      </c>
      <c r="E12">
        <v>4.1585472925968403E-3</v>
      </c>
      <c r="F12">
        <v>4.9423808888466501E-2</v>
      </c>
      <c r="G12">
        <v>1.2558236483990599</v>
      </c>
      <c r="H12">
        <v>9.6079917130432596E-2</v>
      </c>
      <c r="I12">
        <v>8.1975396699160402E-2</v>
      </c>
      <c r="J12">
        <v>4.9523981131865298E-2</v>
      </c>
      <c r="K12">
        <v>1.2625854999999999</v>
      </c>
      <c r="L12">
        <v>9.8017878454676799E-2</v>
      </c>
      <c r="M12">
        <v>8.4741952770010995E-2</v>
      </c>
      <c r="N12">
        <v>5.2817523723763998E-2</v>
      </c>
      <c r="O12" s="2">
        <v>1000</v>
      </c>
      <c r="P12" s="2">
        <v>0</v>
      </c>
      <c r="Q12" s="1">
        <v>0</v>
      </c>
    </row>
    <row r="13" spans="1:17" x14ac:dyDescent="0.25">
      <c r="A13">
        <v>1.33099999999998</v>
      </c>
      <c r="B13">
        <v>0.124178055474673</v>
      </c>
      <c r="C13">
        <v>1.31003101299712</v>
      </c>
      <c r="D13">
        <v>0.114701943471635</v>
      </c>
      <c r="E13">
        <v>5.9708294518553201E-3</v>
      </c>
      <c r="F13">
        <v>4.7627022426421799E-2</v>
      </c>
      <c r="G13">
        <v>1.3107127482346601</v>
      </c>
      <c r="H13">
        <v>0.114908924319681</v>
      </c>
      <c r="I13">
        <v>0.104078764267094</v>
      </c>
      <c r="J13">
        <v>4.7803178711974502E-2</v>
      </c>
      <c r="K13">
        <v>1.32064789999999</v>
      </c>
      <c r="L13">
        <v>0.11776218927515</v>
      </c>
      <c r="M13">
        <v>0.10818077907719199</v>
      </c>
      <c r="N13">
        <v>5.1641941523630101E-2</v>
      </c>
      <c r="O13" s="2">
        <v>1000</v>
      </c>
      <c r="P13" s="2">
        <v>0</v>
      </c>
      <c r="Q13" s="1">
        <v>0</v>
      </c>
    </row>
    <row r="14" spans="1:17" x14ac:dyDescent="0.25">
      <c r="A14">
        <v>1.46409999999998</v>
      </c>
      <c r="B14">
        <v>0.16557074063289801</v>
      </c>
      <c r="C14">
        <v>1.3347087941373501</v>
      </c>
      <c r="D14">
        <v>0.123083715994365</v>
      </c>
      <c r="E14">
        <v>6.5562028115607697E-3</v>
      </c>
      <c r="F14">
        <v>4.5208438995367702E-2</v>
      </c>
      <c r="G14">
        <v>1.3352737818890501</v>
      </c>
      <c r="H14">
        <v>0.123256185588574</v>
      </c>
      <c r="I14">
        <v>0.11411197798028</v>
      </c>
      <c r="J14">
        <v>4.5322087090135001E-2</v>
      </c>
      <c r="K14">
        <v>1.3471017999999899</v>
      </c>
      <c r="L14">
        <v>0.12670300926932601</v>
      </c>
      <c r="M14">
        <v>0.11894087307854601</v>
      </c>
      <c r="N14">
        <v>4.9023370034285897E-2</v>
      </c>
      <c r="O14" s="2">
        <v>1000</v>
      </c>
      <c r="P14" s="2">
        <v>0</v>
      </c>
      <c r="Q14" s="1">
        <v>0</v>
      </c>
    </row>
    <row r="15" spans="1:17" x14ac:dyDescent="0.25">
      <c r="A15">
        <v>1.6105099999999799</v>
      </c>
      <c r="B15">
        <v>0.20696342579112301</v>
      </c>
      <c r="C15">
        <v>1.3507071045650301</v>
      </c>
      <c r="D15">
        <v>0.12849758245086099</v>
      </c>
      <c r="E15">
        <v>6.9622080045500601E-3</v>
      </c>
      <c r="F15">
        <v>4.29227693457623E-2</v>
      </c>
      <c r="G15">
        <v>1.35115470112888</v>
      </c>
      <c r="H15">
        <v>0.128635033733314</v>
      </c>
      <c r="I15">
        <v>0.120637477552449</v>
      </c>
      <c r="J15">
        <v>4.2992587611531699E-2</v>
      </c>
      <c r="K15">
        <v>1.3647149999999899</v>
      </c>
      <c r="L15">
        <v>0.13266355593211099</v>
      </c>
      <c r="M15">
        <v>0.12609367638170799</v>
      </c>
      <c r="N15">
        <v>4.6171294704206903E-2</v>
      </c>
      <c r="O15" s="2">
        <v>1000</v>
      </c>
      <c r="P15" s="2">
        <v>0</v>
      </c>
      <c r="Q15" s="1">
        <v>0</v>
      </c>
    </row>
    <row r="16" spans="1:17" x14ac:dyDescent="0.25">
      <c r="A16">
        <v>1.7715610000000099</v>
      </c>
      <c r="B16">
        <v>0.24835611094934601</v>
      </c>
      <c r="C16">
        <v>1.3618568702055001</v>
      </c>
      <c r="D16">
        <v>0.13221711327253199</v>
      </c>
      <c r="E16">
        <v>7.4695437235317904E-3</v>
      </c>
      <c r="F16">
        <v>4.1447146268094502E-2</v>
      </c>
      <c r="G16">
        <v>1.3624291715457499</v>
      </c>
      <c r="H16">
        <v>0.13239198500791399</v>
      </c>
      <c r="I16">
        <v>0.12536015053178201</v>
      </c>
      <c r="J16">
        <v>4.1532706214458398E-2</v>
      </c>
      <c r="K16">
        <v>1.37641129999999</v>
      </c>
      <c r="L16">
        <v>0.13651307565182599</v>
      </c>
      <c r="M16">
        <v>0.131004067037257</v>
      </c>
      <c r="N16">
        <v>4.4894796604237799E-2</v>
      </c>
      <c r="O16" s="2">
        <v>1000</v>
      </c>
      <c r="P16" s="2">
        <v>0</v>
      </c>
      <c r="Q16" s="1">
        <v>0</v>
      </c>
    </row>
    <row r="17" spans="1:17" x14ac:dyDescent="0.25">
      <c r="A17">
        <v>1.9487171000000201</v>
      </c>
      <c r="B17">
        <v>0.28974879610757398</v>
      </c>
      <c r="C17">
        <v>1.3813232562823501</v>
      </c>
      <c r="D17">
        <v>0.13880663595291501</v>
      </c>
      <c r="E17">
        <v>8.2870506229507507E-3</v>
      </c>
      <c r="F17">
        <v>3.6651170533938002E-2</v>
      </c>
      <c r="G17">
        <v>1.3821492921423899</v>
      </c>
      <c r="H17">
        <v>0.13905771525945301</v>
      </c>
      <c r="I17">
        <v>0.13348154682614299</v>
      </c>
      <c r="J17">
        <v>3.67605380699568E-2</v>
      </c>
      <c r="K17">
        <v>1.39802189999999</v>
      </c>
      <c r="L17">
        <v>0.143798188239673</v>
      </c>
      <c r="M17">
        <v>0.13982188874394999</v>
      </c>
      <c r="N17">
        <v>3.9447733487962801E-2</v>
      </c>
      <c r="O17" s="2">
        <v>1000</v>
      </c>
      <c r="P17" s="2">
        <v>0</v>
      </c>
      <c r="Q17" s="1">
        <v>0</v>
      </c>
    </row>
    <row r="18" spans="1:17" x14ac:dyDescent="0.25">
      <c r="A18">
        <v>2.1435888099999798</v>
      </c>
      <c r="B18">
        <v>0.33114148126579601</v>
      </c>
      <c r="C18">
        <v>1.3834902778513001</v>
      </c>
      <c r="D18">
        <v>0.139488071543654</v>
      </c>
      <c r="E18">
        <v>8.1708213951965994E-3</v>
      </c>
      <c r="F18">
        <v>3.6691786861531898E-2</v>
      </c>
      <c r="G18">
        <v>1.38434929111188</v>
      </c>
      <c r="H18">
        <v>0.13974901556475799</v>
      </c>
      <c r="I18">
        <v>0.134470435834362</v>
      </c>
      <c r="J18">
        <v>3.6802518442610302E-2</v>
      </c>
      <c r="K18">
        <v>1.40019109999999</v>
      </c>
      <c r="L18">
        <v>0.14446047120220501</v>
      </c>
      <c r="M18">
        <v>0.14080884317877099</v>
      </c>
      <c r="N18">
        <v>3.9633724439867901E-2</v>
      </c>
      <c r="O18" s="2">
        <v>1000</v>
      </c>
      <c r="P18" s="2">
        <v>0</v>
      </c>
      <c r="Q18" s="1">
        <v>0</v>
      </c>
    </row>
    <row r="19" spans="1:17" x14ac:dyDescent="0.25">
      <c r="A19">
        <v>2.3579476909999699</v>
      </c>
      <c r="B19">
        <v>0.37253416642402998</v>
      </c>
      <c r="C19">
        <v>1.3923280414607799</v>
      </c>
      <c r="D19">
        <v>0.142462777064987</v>
      </c>
      <c r="E19">
        <v>8.8238512337155007E-3</v>
      </c>
      <c r="F19">
        <v>3.4054353847650397E-2</v>
      </c>
      <c r="G19">
        <v>1.3931266595662</v>
      </c>
      <c r="H19">
        <v>0.14270565379360101</v>
      </c>
      <c r="I19">
        <v>0.138104908469417</v>
      </c>
      <c r="J19">
        <v>3.4140603091719901E-2</v>
      </c>
      <c r="K19">
        <v>1.4100140999999899</v>
      </c>
      <c r="L19">
        <v>0.14777188601486199</v>
      </c>
      <c r="M19">
        <v>0.14481694395454101</v>
      </c>
      <c r="N19">
        <v>3.6366056371666303E-2</v>
      </c>
      <c r="O19" s="2">
        <v>1000</v>
      </c>
      <c r="P19" s="2">
        <v>0</v>
      </c>
      <c r="Q19" s="1">
        <v>0</v>
      </c>
    </row>
    <row r="20" spans="1:17" x14ac:dyDescent="0.25">
      <c r="A20">
        <v>2.5937424601000201</v>
      </c>
      <c r="B20">
        <v>0.41392685158224601</v>
      </c>
      <c r="C20">
        <v>1.3989815763656701</v>
      </c>
      <c r="D20">
        <v>0.14465627996849501</v>
      </c>
      <c r="E20">
        <v>8.6034042388592798E-3</v>
      </c>
      <c r="F20">
        <v>3.2432988856874297E-2</v>
      </c>
      <c r="G20">
        <v>1.3997359336778501</v>
      </c>
      <c r="H20">
        <v>0.14488590860264</v>
      </c>
      <c r="I20">
        <v>0.140910889809408</v>
      </c>
      <c r="J20">
        <v>3.2500572480414699E-2</v>
      </c>
      <c r="K20">
        <v>1.41687479999998</v>
      </c>
      <c r="L20">
        <v>0.15000709101340601</v>
      </c>
      <c r="M20">
        <v>0.147730913042811</v>
      </c>
      <c r="N20">
        <v>3.4812486810153802E-2</v>
      </c>
      <c r="O20" s="2">
        <v>1000</v>
      </c>
      <c r="P20" s="2">
        <v>0</v>
      </c>
      <c r="Q20" s="1">
        <v>0</v>
      </c>
    </row>
    <row r="21" spans="1:17" x14ac:dyDescent="0.25">
      <c r="A21">
        <v>2.85311670611005</v>
      </c>
      <c r="B21">
        <v>0.45531953674048498</v>
      </c>
      <c r="C21">
        <v>1.3999954408310999</v>
      </c>
      <c r="D21">
        <v>0.14503796938927599</v>
      </c>
      <c r="E21">
        <v>8.6404652196778193E-3</v>
      </c>
      <c r="F21">
        <v>3.1445539302081001E-2</v>
      </c>
      <c r="G21">
        <v>1.40078898182512</v>
      </c>
      <c r="H21">
        <v>0.14527941800719901</v>
      </c>
      <c r="I21">
        <v>0.141287135889819</v>
      </c>
      <c r="J21">
        <v>3.1517257889645801E-2</v>
      </c>
      <c r="K21">
        <v>1.4184147999999801</v>
      </c>
      <c r="L21">
        <v>0.15058658860562099</v>
      </c>
      <c r="M21">
        <v>0.14827016318386199</v>
      </c>
      <c r="N21">
        <v>3.3310275797749103E-2</v>
      </c>
      <c r="O21" s="2">
        <v>1000</v>
      </c>
      <c r="P21" s="2">
        <v>0</v>
      </c>
      <c r="Q21" s="1">
        <v>0</v>
      </c>
    </row>
    <row r="22" spans="1:17" x14ac:dyDescent="0.25">
      <c r="A22">
        <v>3.1384283767210501</v>
      </c>
      <c r="B22">
        <v>0.49671222189869302</v>
      </c>
      <c r="C22">
        <v>1.40549088368053</v>
      </c>
      <c r="D22">
        <v>0.14685207460330199</v>
      </c>
      <c r="E22">
        <v>8.8705026726630803E-3</v>
      </c>
      <c r="F22">
        <v>2.9807365923183799E-2</v>
      </c>
      <c r="G22">
        <v>1.4060873902358499</v>
      </c>
      <c r="H22">
        <v>0.147034257243743</v>
      </c>
      <c r="I22">
        <v>0.143525750097073</v>
      </c>
      <c r="J22">
        <v>2.9843827447911201E-2</v>
      </c>
      <c r="K22">
        <v>1.4239708999999801</v>
      </c>
      <c r="L22">
        <v>0.152407866752583</v>
      </c>
      <c r="M22">
        <v>0.150613619320286</v>
      </c>
      <c r="N22">
        <v>3.1617603057566598E-2</v>
      </c>
      <c r="O22" s="2">
        <v>1000</v>
      </c>
      <c r="P22" s="2">
        <v>0</v>
      </c>
      <c r="Q22" s="1">
        <v>0</v>
      </c>
    </row>
    <row r="23" spans="1:17" x14ac:dyDescent="0.25">
      <c r="A23">
        <v>3.4522712143930399</v>
      </c>
      <c r="B23">
        <v>0.53810490705693204</v>
      </c>
      <c r="C23">
        <v>1.4034602450476601</v>
      </c>
      <c r="D23">
        <v>0.14619432591710499</v>
      </c>
      <c r="E23">
        <v>8.8231626211706504E-3</v>
      </c>
      <c r="F23">
        <v>3.0237715250354201E-2</v>
      </c>
      <c r="G23">
        <v>1.4042547120317299</v>
      </c>
      <c r="H23">
        <v>0.146436016594921</v>
      </c>
      <c r="I23">
        <v>0.14273718604810201</v>
      </c>
      <c r="J23">
        <v>3.0303777114897502E-2</v>
      </c>
      <c r="K23">
        <v>1.4220480999999801</v>
      </c>
      <c r="L23">
        <v>0.15178697647521</v>
      </c>
      <c r="M23">
        <v>0.149788738939127</v>
      </c>
      <c r="N23">
        <v>3.2081646546687499E-2</v>
      </c>
      <c r="O23" s="2">
        <v>1000</v>
      </c>
      <c r="P23" s="2">
        <v>0</v>
      </c>
      <c r="Q23" s="1">
        <v>0</v>
      </c>
    </row>
    <row r="24" spans="1:17" x14ac:dyDescent="0.25">
      <c r="A24">
        <v>3.79749833583231</v>
      </c>
      <c r="B24">
        <v>0.57949759221514796</v>
      </c>
      <c r="C24">
        <v>1.40856309318276</v>
      </c>
      <c r="D24">
        <v>0.14787197289120599</v>
      </c>
      <c r="E24">
        <v>8.8534184743910907E-3</v>
      </c>
      <c r="F24">
        <v>2.8708721971361099E-2</v>
      </c>
      <c r="G24">
        <v>1.40917134920387</v>
      </c>
      <c r="H24">
        <v>0.14805791346506</v>
      </c>
      <c r="I24">
        <v>0.144825450401178</v>
      </c>
      <c r="J24">
        <v>2.87380191653532E-2</v>
      </c>
      <c r="K24">
        <v>1.4272400999999799</v>
      </c>
      <c r="L24">
        <v>0.15348407656669699</v>
      </c>
      <c r="M24">
        <v>0.15198575242728601</v>
      </c>
      <c r="N24">
        <v>3.04532395043891E-2</v>
      </c>
      <c r="O24" s="2">
        <v>1000</v>
      </c>
      <c r="P24" s="2">
        <v>0</v>
      </c>
      <c r="Q24" s="1">
        <v>0</v>
      </c>
    </row>
    <row r="25" spans="1:17" x14ac:dyDescent="0.25">
      <c r="A25">
        <v>4.1772481694156403</v>
      </c>
      <c r="B25">
        <v>0.62089027737336999</v>
      </c>
      <c r="C25">
        <v>1.4155866753458399</v>
      </c>
      <c r="D25">
        <v>0.15018283208889599</v>
      </c>
      <c r="E25">
        <v>9.5966050705778502E-3</v>
      </c>
      <c r="F25">
        <v>2.62643739732366E-2</v>
      </c>
      <c r="G25">
        <v>1.41617705326244</v>
      </c>
      <c r="H25">
        <v>0.15036313409852001</v>
      </c>
      <c r="I25">
        <v>0.14781049486021</v>
      </c>
      <c r="J25">
        <v>2.6282676789808199E-2</v>
      </c>
      <c r="K25">
        <v>1.43460899999998</v>
      </c>
      <c r="L25">
        <v>0.15588485230587401</v>
      </c>
      <c r="M25">
        <v>0.155115571077651</v>
      </c>
      <c r="N25">
        <v>2.79423527739701E-2</v>
      </c>
      <c r="O25" s="2">
        <v>1000</v>
      </c>
      <c r="P25" s="2">
        <v>0</v>
      </c>
      <c r="Q25" s="1">
        <v>0</v>
      </c>
    </row>
    <row r="26" spans="1:17" x14ac:dyDescent="0.25">
      <c r="A26">
        <v>4.5949729863572504</v>
      </c>
      <c r="B26">
        <v>0.66228296253159202</v>
      </c>
      <c r="C26">
        <v>1.4104233872382601</v>
      </c>
      <c r="D26">
        <v>0.148512263574167</v>
      </c>
      <c r="E26">
        <v>9.4508794756529499E-3</v>
      </c>
      <c r="F26">
        <v>2.7612048253449002E-2</v>
      </c>
      <c r="G26">
        <v>1.4111585191458</v>
      </c>
      <c r="H26">
        <v>0.148735919533724</v>
      </c>
      <c r="I26">
        <v>0.14563488640713401</v>
      </c>
      <c r="J26">
        <v>2.76602718925845E-2</v>
      </c>
      <c r="K26">
        <v>1.4295346999999801</v>
      </c>
      <c r="L26">
        <v>0.15427053758470299</v>
      </c>
      <c r="M26">
        <v>0.15290292618409401</v>
      </c>
      <c r="N26">
        <v>2.9062380651133202E-2</v>
      </c>
      <c r="O26" s="2">
        <v>1000</v>
      </c>
      <c r="P26" s="2">
        <v>0</v>
      </c>
      <c r="Q26" s="1">
        <v>0</v>
      </c>
    </row>
    <row r="27" spans="1:17" x14ac:dyDescent="0.25">
      <c r="A27">
        <v>5.0544702849929299</v>
      </c>
      <c r="B27">
        <v>0.70367564768981405</v>
      </c>
      <c r="C27">
        <v>1.4144759274393499</v>
      </c>
      <c r="D27">
        <v>0.14985862546420101</v>
      </c>
      <c r="E27">
        <v>9.1687032351039296E-3</v>
      </c>
      <c r="F27">
        <v>2.5926522575714799E-2</v>
      </c>
      <c r="G27">
        <v>1.4154197234674799</v>
      </c>
      <c r="H27">
        <v>0.15014510861761601</v>
      </c>
      <c r="I27">
        <v>0.14743946719384199</v>
      </c>
      <c r="J27">
        <v>2.5988057812751202E-2</v>
      </c>
      <c r="K27">
        <v>1.4340743999999801</v>
      </c>
      <c r="L27">
        <v>0.15576067425039899</v>
      </c>
      <c r="M27">
        <v>0.15481468319632899</v>
      </c>
      <c r="N27">
        <v>2.7245829531711899E-2</v>
      </c>
      <c r="O27" s="2">
        <v>1000</v>
      </c>
      <c r="P27" s="2">
        <v>0</v>
      </c>
      <c r="Q27" s="1">
        <v>0</v>
      </c>
    </row>
    <row r="28" spans="1:17" x14ac:dyDescent="0.25">
      <c r="A28">
        <v>5.5599173134923303</v>
      </c>
      <c r="B28">
        <v>0.74506833284806095</v>
      </c>
      <c r="C28">
        <v>1.41449770142883</v>
      </c>
      <c r="D28">
        <v>0.14984310483543301</v>
      </c>
      <c r="E28">
        <v>9.5505828111163392E-3</v>
      </c>
      <c r="F28">
        <v>2.63404401893929E-2</v>
      </c>
      <c r="G28">
        <v>1.4154047390542299</v>
      </c>
      <c r="H28">
        <v>0.15011852014433499</v>
      </c>
      <c r="I28">
        <v>0.14746581692062299</v>
      </c>
      <c r="J28">
        <v>2.63972750231171E-2</v>
      </c>
      <c r="K28">
        <v>1.43381259999998</v>
      </c>
      <c r="L28">
        <v>0.15563649619492401</v>
      </c>
      <c r="M28">
        <v>0.15476090768789799</v>
      </c>
      <c r="N28">
        <v>2.8039041312819799E-2</v>
      </c>
      <c r="O28" s="2">
        <v>1000</v>
      </c>
      <c r="P28" s="2">
        <v>0</v>
      </c>
      <c r="Q28" s="1">
        <v>0</v>
      </c>
    </row>
    <row r="29" spans="1:17" x14ac:dyDescent="0.25">
      <c r="A29">
        <v>6.1159090448415396</v>
      </c>
      <c r="B29">
        <v>0.78646101800628598</v>
      </c>
      <c r="C29">
        <v>1.4224552263481001</v>
      </c>
      <c r="D29">
        <v>0.15248087264618199</v>
      </c>
      <c r="E29">
        <v>9.5844542677431498E-3</v>
      </c>
      <c r="F29">
        <v>2.2607291612429699E-2</v>
      </c>
      <c r="G29">
        <v>1.42334307373872</v>
      </c>
      <c r="H29">
        <v>0.15275077899914999</v>
      </c>
      <c r="I29">
        <v>0.150816995872532</v>
      </c>
      <c r="J29">
        <v>2.2634580058051801E-2</v>
      </c>
      <c r="K29">
        <v>1.4423496999999801</v>
      </c>
      <c r="L29">
        <v>0.15845119878568301</v>
      </c>
      <c r="M29">
        <v>0.158337683103664</v>
      </c>
      <c r="N29">
        <v>2.38771130508167E-2</v>
      </c>
      <c r="O29" s="2">
        <v>1000</v>
      </c>
      <c r="P29" s="2">
        <v>0</v>
      </c>
      <c r="Q29" s="1">
        <v>0</v>
      </c>
    </row>
    <row r="30" spans="1:17" x14ac:dyDescent="0.25">
      <c r="A30">
        <v>6.7274999493256402</v>
      </c>
      <c r="B30">
        <v>0.82785370316449203</v>
      </c>
      <c r="C30">
        <v>1.4159249569428201</v>
      </c>
      <c r="D30">
        <v>0.150313113755877</v>
      </c>
      <c r="E30">
        <v>9.4611382913886901E-3</v>
      </c>
      <c r="F30">
        <v>2.5772502021744199E-2</v>
      </c>
      <c r="G30">
        <v>1.4164169663627599</v>
      </c>
      <c r="H30">
        <v>0.150464170296987</v>
      </c>
      <c r="I30">
        <v>0.14787800521130701</v>
      </c>
      <c r="J30">
        <v>2.5773800389559599E-2</v>
      </c>
      <c r="K30">
        <v>1.4350148999999801</v>
      </c>
      <c r="L30">
        <v>0.15605042304650699</v>
      </c>
      <c r="M30">
        <v>0.15523875349991101</v>
      </c>
      <c r="N30">
        <v>2.71912934897574E-2</v>
      </c>
      <c r="O30" s="2">
        <v>1000</v>
      </c>
      <c r="P30" s="2">
        <v>0</v>
      </c>
      <c r="Q30" s="1">
        <v>0</v>
      </c>
    </row>
    <row r="31" spans="1:17" x14ac:dyDescent="0.25">
      <c r="A31">
        <v>7.4002499442583201</v>
      </c>
      <c r="B31">
        <v>0.86924638832272205</v>
      </c>
      <c r="C31">
        <v>1.4229692742583999</v>
      </c>
      <c r="D31">
        <v>0.15265110993227601</v>
      </c>
      <c r="E31">
        <v>9.3905777691542496E-3</v>
      </c>
      <c r="F31">
        <v>2.2344030548942701E-2</v>
      </c>
      <c r="G31">
        <v>1.42399850658919</v>
      </c>
      <c r="H31">
        <v>0.15296348678539801</v>
      </c>
      <c r="I31">
        <v>0.15110067943890099</v>
      </c>
      <c r="J31">
        <v>2.2383321107953401E-2</v>
      </c>
      <c r="K31">
        <v>1.4430019999999799</v>
      </c>
      <c r="L31">
        <v>0.158658162211475</v>
      </c>
      <c r="M31">
        <v>0.15862293957958801</v>
      </c>
      <c r="N31">
        <v>2.36858203190785E-2</v>
      </c>
      <c r="O31" s="2">
        <v>1000</v>
      </c>
      <c r="P31" s="2">
        <v>0</v>
      </c>
      <c r="Q31" s="1">
        <v>0</v>
      </c>
    </row>
    <row r="32" spans="1:17" x14ac:dyDescent="0.25">
      <c r="A32">
        <v>8.1402749386841204</v>
      </c>
      <c r="B32">
        <v>0.91063907348097095</v>
      </c>
      <c r="C32">
        <v>1.4195484749180101</v>
      </c>
      <c r="D32">
        <v>0.151529199131752</v>
      </c>
      <c r="E32">
        <v>9.1567114419189195E-3</v>
      </c>
      <c r="F32">
        <v>2.3851178774004899E-2</v>
      </c>
      <c r="G32">
        <v>1.4209486218376399</v>
      </c>
      <c r="H32">
        <v>0.15195312480072101</v>
      </c>
      <c r="I32">
        <v>0.149811739504247</v>
      </c>
      <c r="J32">
        <v>2.3938274293802402E-2</v>
      </c>
      <c r="K32">
        <v>1.4397327999999801</v>
      </c>
      <c r="L32">
        <v>0.157581952397361</v>
      </c>
      <c r="M32">
        <v>0.15725080647258699</v>
      </c>
      <c r="N32">
        <v>2.53858043487546E-2</v>
      </c>
      <c r="O32" s="2">
        <v>1000</v>
      </c>
      <c r="P32" s="2">
        <v>0</v>
      </c>
      <c r="Q32" s="1">
        <v>0</v>
      </c>
    </row>
    <row r="33" spans="1:17" x14ac:dyDescent="0.25">
      <c r="A33">
        <v>8.9543024325522893</v>
      </c>
      <c r="B33">
        <v>0.95203175863915301</v>
      </c>
      <c r="C33">
        <v>1.42151888596487</v>
      </c>
      <c r="D33">
        <v>0.15219089119613999</v>
      </c>
      <c r="E33">
        <v>9.6976321820957199E-3</v>
      </c>
      <c r="F33">
        <v>2.26807915064202E-2</v>
      </c>
      <c r="G33">
        <v>1.4229299048022901</v>
      </c>
      <c r="H33">
        <v>0.152617836632746</v>
      </c>
      <c r="I33">
        <v>0.15063644047657301</v>
      </c>
      <c r="J33">
        <v>2.2765900028830902E-2</v>
      </c>
      <c r="K33">
        <v>1.4419514999999801</v>
      </c>
      <c r="L33">
        <v>0.15832702073020899</v>
      </c>
      <c r="M33">
        <v>0.15816035140878801</v>
      </c>
      <c r="N33">
        <v>2.39473662163921E-2</v>
      </c>
      <c r="O33" s="2">
        <v>1000</v>
      </c>
      <c r="P33" s="2">
        <v>0</v>
      </c>
      <c r="Q33" s="1">
        <v>0</v>
      </c>
    </row>
    <row r="34" spans="1:17" x14ac:dyDescent="0.25">
      <c r="A34">
        <v>9.8497326758077506</v>
      </c>
      <c r="B34">
        <v>0.99342444379738704</v>
      </c>
      <c r="C34">
        <v>1.4233900589387001</v>
      </c>
      <c r="D34">
        <v>0.15281715004347701</v>
      </c>
      <c r="E34">
        <v>9.5013665866657895E-3</v>
      </c>
      <c r="F34">
        <v>2.1540093983699899E-2</v>
      </c>
      <c r="G34">
        <v>1.4248398288753099</v>
      </c>
      <c r="H34">
        <v>0.153255959991489</v>
      </c>
      <c r="I34">
        <v>0.15143544050403701</v>
      </c>
      <c r="J34">
        <v>2.16163627961307E-2</v>
      </c>
      <c r="K34">
        <v>1.44406019999998</v>
      </c>
      <c r="L34">
        <v>0.15903069637789899</v>
      </c>
      <c r="M34">
        <v>0.15903137847777099</v>
      </c>
      <c r="N34">
        <v>2.2570719314119601E-2</v>
      </c>
      <c r="O34" s="2">
        <v>1000</v>
      </c>
      <c r="P34" s="2">
        <v>0</v>
      </c>
      <c r="Q34" s="1">
        <v>0</v>
      </c>
    </row>
    <row r="36" spans="1:17" x14ac:dyDescent="0.25">
      <c r="A36" s="1" t="s">
        <v>8</v>
      </c>
      <c r="B36" s="1" t="s">
        <v>25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26</v>
      </c>
      <c r="H36" s="1" t="s">
        <v>27</v>
      </c>
      <c r="I36" s="1" t="s">
        <v>28</v>
      </c>
      <c r="J36" s="1" t="s">
        <v>29</v>
      </c>
      <c r="K36" s="1" t="s">
        <v>30</v>
      </c>
      <c r="L36" s="1" t="s">
        <v>31</v>
      </c>
      <c r="M36" s="1" t="s">
        <v>32</v>
      </c>
      <c r="N36" s="1" t="s">
        <v>33</v>
      </c>
      <c r="O36" s="1" t="s">
        <v>34</v>
      </c>
      <c r="P36" s="1" t="s">
        <v>35</v>
      </c>
    </row>
    <row r="37" spans="1:17" x14ac:dyDescent="0.25">
      <c r="A37" s="1">
        <f>$B11</f>
        <v>4.1392685158224501E-2</v>
      </c>
      <c r="B37" s="1">
        <f>$D11</f>
        <v>6.7791925539409298E-2</v>
      </c>
      <c r="C37" s="1" t="e">
        <f>B37-#REF!</f>
        <v>#REF!</v>
      </c>
      <c r="D37" s="1" t="e">
        <f>B37+#REF!</f>
        <v>#REF!</v>
      </c>
      <c r="E37" s="1">
        <f>$B37-$F11</f>
        <v>2.0682456660292295E-2</v>
      </c>
      <c r="F37" s="1">
        <f>$B37+$F11</f>
        <v>0.1149013944185263</v>
      </c>
      <c r="G37" s="1">
        <f>$H11</f>
        <v>6.7809393768093307E-2</v>
      </c>
      <c r="H37" s="1">
        <f>$G37-$I11</f>
        <v>1.6144950420253705E-2</v>
      </c>
      <c r="I37" s="1">
        <f>$G37+$I11</f>
        <v>0.1194738371159329</v>
      </c>
      <c r="J37" s="1">
        <f>$G37-$J11</f>
        <v>2.0679326898870004E-2</v>
      </c>
      <c r="K37" s="1">
        <f>$G37+$J11</f>
        <v>0.11493946063731661</v>
      </c>
      <c r="L37" s="1">
        <f>$L11</f>
        <v>7.2023272175311098E-2</v>
      </c>
      <c r="M37" s="1">
        <f>$L37-$M11</f>
        <v>1.68452341284955E-2</v>
      </c>
      <c r="N37" s="1">
        <f>$L37+$M11</f>
        <v>0.12720131022212669</v>
      </c>
      <c r="O37" s="1">
        <f>$L37-$N11</f>
        <v>2.5198654824254499E-2</v>
      </c>
      <c r="P37" s="1">
        <f>$L37+$N11</f>
        <v>0.1188478895263677</v>
      </c>
    </row>
    <row r="38" spans="1:17" x14ac:dyDescent="0.25">
      <c r="A38" s="1">
        <f t="shared" ref="A38:A60" si="0">$B12</f>
        <v>8.2785370316449003E-2</v>
      </c>
      <c r="B38" s="1">
        <f t="shared" ref="B38:B60" si="1">$D12</f>
        <v>9.5989523778402794E-2</v>
      </c>
      <c r="C38" s="1" t="e">
        <f>B38-#REF!</f>
        <v>#REF!</v>
      </c>
      <c r="D38" s="1" t="e">
        <f>B38+#REF!</f>
        <v>#REF!</v>
      </c>
      <c r="E38" s="1">
        <f t="shared" ref="E38:E60" si="2">$B38-$F12</f>
        <v>4.6565714889936292E-2</v>
      </c>
      <c r="F38" s="1">
        <f t="shared" ref="F38:F60" si="3">$B38+$F12</f>
        <v>0.14541333266686929</v>
      </c>
      <c r="G38" s="1">
        <f t="shared" ref="G38:G60" si="4">$H12</f>
        <v>9.6079917130432596E-2</v>
      </c>
      <c r="H38" s="1">
        <f t="shared" ref="H38:H60" si="5">$G38-$I12</f>
        <v>1.4104520431272194E-2</v>
      </c>
      <c r="I38" s="1">
        <f t="shared" ref="I38:I60" si="6">$G38+$I12</f>
        <v>0.178055313829593</v>
      </c>
      <c r="J38" s="1">
        <f t="shared" ref="J38:J60" si="7">$G38-$J12</f>
        <v>4.6555935998567298E-2</v>
      </c>
      <c r="K38" s="1">
        <f t="shared" ref="K38:K60" si="8">$G38+$J12</f>
        <v>0.14560389826229789</v>
      </c>
      <c r="L38" s="1">
        <f t="shared" ref="L38:L60" si="9">$L12</f>
        <v>9.8017878454676799E-2</v>
      </c>
      <c r="M38" s="1">
        <f t="shared" ref="M38:M60" si="10">$L38-$M12</f>
        <v>1.3275925684665804E-2</v>
      </c>
      <c r="N38" s="1">
        <f t="shared" ref="N38:N60" si="11">$L38+$M12</f>
        <v>0.18275983122468781</v>
      </c>
      <c r="O38" s="1">
        <f t="shared" ref="O38:O60" si="12">$L38-$N12</f>
        <v>4.5200354730912801E-2</v>
      </c>
      <c r="P38" s="1">
        <f t="shared" ref="P38:P60" si="13">$L38+$N12</f>
        <v>0.1508354021784408</v>
      </c>
    </row>
    <row r="39" spans="1:17" x14ac:dyDescent="0.25">
      <c r="A39" s="1">
        <f t="shared" si="0"/>
        <v>0.124178055474673</v>
      </c>
      <c r="B39" s="1">
        <f t="shared" si="1"/>
        <v>0.114701943471635</v>
      </c>
      <c r="C39" s="1" t="e">
        <f>B39-#REF!</f>
        <v>#REF!</v>
      </c>
      <c r="D39" s="1" t="e">
        <f>B39+#REF!</f>
        <v>#REF!</v>
      </c>
      <c r="E39" s="1">
        <f t="shared" si="2"/>
        <v>6.7074921045213204E-2</v>
      </c>
      <c r="F39" s="1">
        <f t="shared" si="3"/>
        <v>0.16232896589805679</v>
      </c>
      <c r="G39" s="1">
        <f t="shared" si="4"/>
        <v>0.114908924319681</v>
      </c>
      <c r="H39" s="1">
        <f t="shared" si="5"/>
        <v>1.0830160052586996E-2</v>
      </c>
      <c r="I39" s="1">
        <f t="shared" si="6"/>
        <v>0.218987688586775</v>
      </c>
      <c r="J39" s="1">
        <f t="shared" si="7"/>
        <v>6.7105745607706491E-2</v>
      </c>
      <c r="K39" s="1">
        <f t="shared" si="8"/>
        <v>0.16271210303165551</v>
      </c>
      <c r="L39" s="1">
        <f t="shared" si="9"/>
        <v>0.11776218927515</v>
      </c>
      <c r="M39" s="1">
        <f t="shared" si="10"/>
        <v>9.5814101979580096E-3</v>
      </c>
      <c r="N39" s="1">
        <f t="shared" si="11"/>
        <v>0.22594296835234201</v>
      </c>
      <c r="O39" s="1">
        <f t="shared" si="12"/>
        <v>6.6120247751519895E-2</v>
      </c>
      <c r="P39" s="1">
        <f t="shared" si="13"/>
        <v>0.16940413079878011</v>
      </c>
    </row>
    <row r="40" spans="1:17" x14ac:dyDescent="0.25">
      <c r="A40" s="1">
        <f t="shared" si="0"/>
        <v>0.16557074063289801</v>
      </c>
      <c r="B40" s="1">
        <f t="shared" si="1"/>
        <v>0.123083715994365</v>
      </c>
      <c r="C40" s="1" t="e">
        <f>B40-#REF!</f>
        <v>#REF!</v>
      </c>
      <c r="D40" s="1" t="e">
        <f>B40+#REF!</f>
        <v>#REF!</v>
      </c>
      <c r="E40" s="1">
        <f t="shared" si="2"/>
        <v>7.7875276998997295E-2</v>
      </c>
      <c r="F40" s="1">
        <f t="shared" si="3"/>
        <v>0.16829215498973271</v>
      </c>
      <c r="G40" s="1">
        <f t="shared" si="4"/>
        <v>0.123256185588574</v>
      </c>
      <c r="H40" s="1">
        <f t="shared" si="5"/>
        <v>9.1442076082939999E-3</v>
      </c>
      <c r="I40" s="1">
        <f t="shared" si="6"/>
        <v>0.23736816356885398</v>
      </c>
      <c r="J40" s="1">
        <f t="shared" si="7"/>
        <v>7.7934098498438992E-2</v>
      </c>
      <c r="K40" s="1">
        <f t="shared" si="8"/>
        <v>0.16857827267870901</v>
      </c>
      <c r="L40" s="1">
        <f t="shared" si="9"/>
        <v>0.12670300926932601</v>
      </c>
      <c r="M40" s="1">
        <f t="shared" si="10"/>
        <v>7.7621361907800057E-3</v>
      </c>
      <c r="N40" s="1">
        <f t="shared" si="11"/>
        <v>0.24564388234787202</v>
      </c>
      <c r="O40" s="1">
        <f t="shared" si="12"/>
        <v>7.7679639235040121E-2</v>
      </c>
      <c r="P40" s="1">
        <f t="shared" si="13"/>
        <v>0.1757263793036119</v>
      </c>
    </row>
    <row r="41" spans="1:17" x14ac:dyDescent="0.25">
      <c r="A41" s="1">
        <f t="shared" si="0"/>
        <v>0.20696342579112301</v>
      </c>
      <c r="B41" s="1">
        <f t="shared" si="1"/>
        <v>0.12849758245086099</v>
      </c>
      <c r="C41" s="1" t="e">
        <f>B41-#REF!</f>
        <v>#REF!</v>
      </c>
      <c r="D41" s="1" t="e">
        <f>B41+#REF!</f>
        <v>#REF!</v>
      </c>
      <c r="E41" s="1">
        <f t="shared" si="2"/>
        <v>8.5574813105098679E-2</v>
      </c>
      <c r="F41" s="1">
        <f t="shared" si="3"/>
        <v>0.17142035179662329</v>
      </c>
      <c r="G41" s="1">
        <f t="shared" si="4"/>
        <v>0.128635033733314</v>
      </c>
      <c r="H41" s="1">
        <f t="shared" si="5"/>
        <v>7.9975561808650064E-3</v>
      </c>
      <c r="I41" s="1">
        <f t="shared" si="6"/>
        <v>0.249272511285763</v>
      </c>
      <c r="J41" s="1">
        <f t="shared" si="7"/>
        <v>8.5642446121782304E-2</v>
      </c>
      <c r="K41" s="1">
        <f t="shared" si="8"/>
        <v>0.17162762134484572</v>
      </c>
      <c r="L41" s="1">
        <f t="shared" si="9"/>
        <v>0.13266355593211099</v>
      </c>
      <c r="M41" s="1">
        <f t="shared" si="10"/>
        <v>6.5698795504030016E-3</v>
      </c>
      <c r="N41" s="1">
        <f t="shared" si="11"/>
        <v>0.25875723231381897</v>
      </c>
      <c r="O41" s="1">
        <f t="shared" si="12"/>
        <v>8.6492261227904085E-2</v>
      </c>
      <c r="P41" s="1">
        <f t="shared" si="13"/>
        <v>0.17883485063631788</v>
      </c>
    </row>
    <row r="42" spans="1:17" x14ac:dyDescent="0.25">
      <c r="A42" s="1">
        <f t="shared" si="0"/>
        <v>0.24835611094934601</v>
      </c>
      <c r="B42" s="1">
        <f t="shared" si="1"/>
        <v>0.13221711327253199</v>
      </c>
      <c r="C42" s="1" t="e">
        <f>B42-#REF!</f>
        <v>#REF!</v>
      </c>
      <c r="D42" s="1" t="e">
        <f>B42+#REF!</f>
        <v>#REF!</v>
      </c>
      <c r="E42" s="1">
        <f t="shared" si="2"/>
        <v>9.0769967004437485E-2</v>
      </c>
      <c r="F42" s="1">
        <f t="shared" si="3"/>
        <v>0.1736642595406265</v>
      </c>
      <c r="G42" s="1">
        <f t="shared" si="4"/>
        <v>0.13239198500791399</v>
      </c>
      <c r="H42" s="1">
        <f t="shared" si="5"/>
        <v>7.0318344761319818E-3</v>
      </c>
      <c r="I42" s="1">
        <f t="shared" si="6"/>
        <v>0.257752135539696</v>
      </c>
      <c r="J42" s="1">
        <f t="shared" si="7"/>
        <v>9.0859278793455595E-2</v>
      </c>
      <c r="K42" s="1">
        <f t="shared" si="8"/>
        <v>0.17392469122237239</v>
      </c>
      <c r="L42" s="1">
        <f t="shared" si="9"/>
        <v>0.13651307565182599</v>
      </c>
      <c r="M42" s="1">
        <f t="shared" si="10"/>
        <v>5.5090086145689887E-3</v>
      </c>
      <c r="N42" s="1">
        <f t="shared" si="11"/>
        <v>0.267517142689083</v>
      </c>
      <c r="O42" s="1">
        <f t="shared" si="12"/>
        <v>9.1618279047588194E-2</v>
      </c>
      <c r="P42" s="1">
        <f t="shared" si="13"/>
        <v>0.18140787225606381</v>
      </c>
    </row>
    <row r="43" spans="1:17" x14ac:dyDescent="0.25">
      <c r="A43" s="1">
        <f t="shared" si="0"/>
        <v>0.28974879610757398</v>
      </c>
      <c r="B43" s="1">
        <f t="shared" si="1"/>
        <v>0.13880663595291501</v>
      </c>
      <c r="C43" s="1" t="e">
        <f>B43-#REF!</f>
        <v>#REF!</v>
      </c>
      <c r="D43" s="1" t="e">
        <f>B43+#REF!</f>
        <v>#REF!</v>
      </c>
      <c r="E43" s="1">
        <f t="shared" si="2"/>
        <v>0.10215546541897701</v>
      </c>
      <c r="F43" s="1">
        <f t="shared" si="3"/>
        <v>0.175457806486853</v>
      </c>
      <c r="G43" s="1">
        <f t="shared" si="4"/>
        <v>0.13905771525945301</v>
      </c>
      <c r="H43" s="1">
        <f t="shared" si="5"/>
        <v>5.5761684333100192E-3</v>
      </c>
      <c r="I43" s="1">
        <f t="shared" si="6"/>
        <v>0.27253926208559598</v>
      </c>
      <c r="J43" s="1">
        <f t="shared" si="7"/>
        <v>0.10229717718949621</v>
      </c>
      <c r="K43" s="1">
        <f t="shared" si="8"/>
        <v>0.17581825332940981</v>
      </c>
      <c r="L43" s="1">
        <f t="shared" si="9"/>
        <v>0.143798188239673</v>
      </c>
      <c r="M43" s="1">
        <f t="shared" si="10"/>
        <v>3.9762994957230069E-3</v>
      </c>
      <c r="N43" s="1">
        <f t="shared" si="11"/>
        <v>0.28362007698362302</v>
      </c>
      <c r="O43" s="1">
        <f t="shared" si="12"/>
        <v>0.1043504547517102</v>
      </c>
      <c r="P43" s="1">
        <f t="shared" si="13"/>
        <v>0.18324592172763579</v>
      </c>
    </row>
    <row r="44" spans="1:17" x14ac:dyDescent="0.25">
      <c r="A44" s="1">
        <f t="shared" si="0"/>
        <v>0.33114148126579601</v>
      </c>
      <c r="B44" s="1">
        <f t="shared" si="1"/>
        <v>0.139488071543654</v>
      </c>
      <c r="C44" s="1" t="e">
        <f>B44-#REF!</f>
        <v>#REF!</v>
      </c>
      <c r="D44" s="1" t="e">
        <f>B44+#REF!</f>
        <v>#REF!</v>
      </c>
      <c r="E44" s="1">
        <f t="shared" si="2"/>
        <v>0.1027962846821221</v>
      </c>
      <c r="F44" s="1">
        <f t="shared" si="3"/>
        <v>0.17617985840518591</v>
      </c>
      <c r="G44" s="1">
        <f t="shared" si="4"/>
        <v>0.13974901556475799</v>
      </c>
      <c r="H44" s="1">
        <f t="shared" si="5"/>
        <v>5.2785797303959991E-3</v>
      </c>
      <c r="I44" s="1">
        <f t="shared" si="6"/>
        <v>0.27421945139911996</v>
      </c>
      <c r="J44" s="1">
        <f t="shared" si="7"/>
        <v>0.10294649712214769</v>
      </c>
      <c r="K44" s="1">
        <f t="shared" si="8"/>
        <v>0.17655153400736828</v>
      </c>
      <c r="L44" s="1">
        <f t="shared" si="9"/>
        <v>0.14446047120220501</v>
      </c>
      <c r="M44" s="1">
        <f t="shared" si="10"/>
        <v>3.6516280234340226E-3</v>
      </c>
      <c r="N44" s="1">
        <f t="shared" si="11"/>
        <v>0.28526931438097602</v>
      </c>
      <c r="O44" s="1">
        <f t="shared" si="12"/>
        <v>0.10482674676233711</v>
      </c>
      <c r="P44" s="1">
        <f t="shared" si="13"/>
        <v>0.18409419564207291</v>
      </c>
    </row>
    <row r="45" spans="1:17" x14ac:dyDescent="0.25">
      <c r="A45" s="1">
        <f t="shared" si="0"/>
        <v>0.37253416642402998</v>
      </c>
      <c r="B45" s="1">
        <f t="shared" si="1"/>
        <v>0.142462777064987</v>
      </c>
      <c r="C45" s="1" t="e">
        <f>B45-#REF!</f>
        <v>#REF!</v>
      </c>
      <c r="D45" s="1" t="e">
        <f>B45+#REF!</f>
        <v>#REF!</v>
      </c>
      <c r="E45" s="1">
        <f t="shared" si="2"/>
        <v>0.1084084232173366</v>
      </c>
      <c r="F45" s="1">
        <f t="shared" si="3"/>
        <v>0.1765171309126374</v>
      </c>
      <c r="G45" s="1">
        <f t="shared" si="4"/>
        <v>0.14270565379360101</v>
      </c>
      <c r="H45" s="1">
        <f t="shared" si="5"/>
        <v>4.6007453241840024E-3</v>
      </c>
      <c r="I45" s="1">
        <f t="shared" si="6"/>
        <v>0.28081056226301804</v>
      </c>
      <c r="J45" s="1">
        <f t="shared" si="7"/>
        <v>0.10856505070188111</v>
      </c>
      <c r="K45" s="1">
        <f t="shared" si="8"/>
        <v>0.17684625688532091</v>
      </c>
      <c r="L45" s="1">
        <f t="shared" si="9"/>
        <v>0.14777188601486199</v>
      </c>
      <c r="M45" s="1">
        <f t="shared" si="10"/>
        <v>2.9549420603209864E-3</v>
      </c>
      <c r="N45" s="1">
        <f t="shared" si="11"/>
        <v>0.292588829969403</v>
      </c>
      <c r="O45" s="1">
        <f t="shared" si="12"/>
        <v>0.11140582964319569</v>
      </c>
      <c r="P45" s="1">
        <f t="shared" si="13"/>
        <v>0.18413794238652831</v>
      </c>
    </row>
    <row r="46" spans="1:17" x14ac:dyDescent="0.25">
      <c r="A46" s="1">
        <f t="shared" si="0"/>
        <v>0.41392685158224601</v>
      </c>
      <c r="B46" s="1">
        <f t="shared" si="1"/>
        <v>0.14465627996849501</v>
      </c>
      <c r="C46" s="1" t="e">
        <f>B46-#REF!</f>
        <v>#REF!</v>
      </c>
      <c r="D46" s="1" t="e">
        <f>B46+#REF!</f>
        <v>#REF!</v>
      </c>
      <c r="E46" s="1">
        <f t="shared" si="2"/>
        <v>0.11222329111162072</v>
      </c>
      <c r="F46" s="1">
        <f t="shared" si="3"/>
        <v>0.17708926882536929</v>
      </c>
      <c r="G46" s="1">
        <f t="shared" si="4"/>
        <v>0.14488590860264</v>
      </c>
      <c r="H46" s="1">
        <f t="shared" si="5"/>
        <v>3.9750187932320047E-3</v>
      </c>
      <c r="I46" s="1">
        <f t="shared" si="6"/>
        <v>0.28579679841204797</v>
      </c>
      <c r="J46" s="1">
        <f t="shared" si="7"/>
        <v>0.1123853361222253</v>
      </c>
      <c r="K46" s="1">
        <f t="shared" si="8"/>
        <v>0.17738648108305471</v>
      </c>
      <c r="L46" s="1">
        <f t="shared" si="9"/>
        <v>0.15000709101340601</v>
      </c>
      <c r="M46" s="1">
        <f t="shared" si="10"/>
        <v>2.2761779705950114E-3</v>
      </c>
      <c r="N46" s="1">
        <f t="shared" si="11"/>
        <v>0.29773800405621698</v>
      </c>
      <c r="O46" s="1">
        <f t="shared" si="12"/>
        <v>0.1151946042032522</v>
      </c>
      <c r="P46" s="1">
        <f t="shared" si="13"/>
        <v>0.18481957782355982</v>
      </c>
    </row>
    <row r="47" spans="1:17" x14ac:dyDescent="0.25">
      <c r="A47" s="1">
        <f t="shared" si="0"/>
        <v>0.45531953674048498</v>
      </c>
      <c r="B47" s="1">
        <f t="shared" si="1"/>
        <v>0.14503796938927599</v>
      </c>
      <c r="C47" s="1" t="e">
        <f>B47-#REF!</f>
        <v>#REF!</v>
      </c>
      <c r="D47" s="1" t="e">
        <f>B47+#REF!</f>
        <v>#REF!</v>
      </c>
      <c r="E47" s="1">
        <f t="shared" si="2"/>
        <v>0.113592430087195</v>
      </c>
      <c r="F47" s="1">
        <f t="shared" si="3"/>
        <v>0.17648350869135698</v>
      </c>
      <c r="G47" s="1">
        <f t="shared" si="4"/>
        <v>0.14527941800719901</v>
      </c>
      <c r="H47" s="1">
        <f t="shared" si="5"/>
        <v>3.9922821173800083E-3</v>
      </c>
      <c r="I47" s="1">
        <f t="shared" si="6"/>
        <v>0.28656655389701802</v>
      </c>
      <c r="J47" s="1">
        <f t="shared" si="7"/>
        <v>0.11376216011755322</v>
      </c>
      <c r="K47" s="1">
        <f t="shared" si="8"/>
        <v>0.17679667589684481</v>
      </c>
      <c r="L47" s="1">
        <f t="shared" si="9"/>
        <v>0.15058658860562099</v>
      </c>
      <c r="M47" s="1">
        <f t="shared" si="10"/>
        <v>2.3164254217589997E-3</v>
      </c>
      <c r="N47" s="1">
        <f t="shared" si="11"/>
        <v>0.29885675178948301</v>
      </c>
      <c r="O47" s="1">
        <f t="shared" si="12"/>
        <v>0.11727631280787189</v>
      </c>
      <c r="P47" s="1">
        <f t="shared" si="13"/>
        <v>0.18389686440337011</v>
      </c>
    </row>
    <row r="48" spans="1:17" x14ac:dyDescent="0.25">
      <c r="A48" s="1">
        <f t="shared" si="0"/>
        <v>0.49671222189869302</v>
      </c>
      <c r="B48" s="1">
        <f t="shared" si="1"/>
        <v>0.14685207460330199</v>
      </c>
      <c r="C48" s="1" t="e">
        <f>B48-#REF!</f>
        <v>#REF!</v>
      </c>
      <c r="D48" s="1" t="e">
        <f>B48+#REF!</f>
        <v>#REF!</v>
      </c>
      <c r="E48" s="1">
        <f t="shared" si="2"/>
        <v>0.1170447086801182</v>
      </c>
      <c r="F48" s="1">
        <f t="shared" si="3"/>
        <v>0.1766594405264858</v>
      </c>
      <c r="G48" s="1">
        <f t="shared" si="4"/>
        <v>0.147034257243743</v>
      </c>
      <c r="H48" s="1">
        <f t="shared" si="5"/>
        <v>3.5085071466700035E-3</v>
      </c>
      <c r="I48" s="1">
        <f t="shared" si="6"/>
        <v>0.290560007340816</v>
      </c>
      <c r="J48" s="1">
        <f t="shared" si="7"/>
        <v>0.1171904297958318</v>
      </c>
      <c r="K48" s="1">
        <f t="shared" si="8"/>
        <v>0.1768780846916542</v>
      </c>
      <c r="L48" s="1">
        <f t="shared" si="9"/>
        <v>0.152407866752583</v>
      </c>
      <c r="M48" s="1">
        <f t="shared" si="10"/>
        <v>1.7942474322970026E-3</v>
      </c>
      <c r="N48" s="1">
        <f t="shared" si="11"/>
        <v>0.303021486072869</v>
      </c>
      <c r="O48" s="1">
        <f t="shared" si="12"/>
        <v>0.1207902636950164</v>
      </c>
      <c r="P48" s="1">
        <f t="shared" si="13"/>
        <v>0.18402546981014961</v>
      </c>
    </row>
    <row r="49" spans="1:16" x14ac:dyDescent="0.25">
      <c r="A49" s="1">
        <f t="shared" si="0"/>
        <v>0.53810490705693204</v>
      </c>
      <c r="B49" s="1">
        <f t="shared" si="1"/>
        <v>0.14619432591710499</v>
      </c>
      <c r="C49" s="1" t="e">
        <f>B49-#REF!</f>
        <v>#REF!</v>
      </c>
      <c r="D49" s="1" t="e">
        <f>B49+#REF!</f>
        <v>#REF!</v>
      </c>
      <c r="E49" s="1">
        <f t="shared" si="2"/>
        <v>0.11595661066675078</v>
      </c>
      <c r="F49" s="1">
        <f t="shared" si="3"/>
        <v>0.1764320411674592</v>
      </c>
      <c r="G49" s="1">
        <f t="shared" si="4"/>
        <v>0.146436016594921</v>
      </c>
      <c r="H49" s="1">
        <f t="shared" si="5"/>
        <v>3.698830546818993E-3</v>
      </c>
      <c r="I49" s="1">
        <f t="shared" si="6"/>
        <v>0.28917320264302304</v>
      </c>
      <c r="J49" s="1">
        <f t="shared" si="7"/>
        <v>0.11613223948002351</v>
      </c>
      <c r="K49" s="1">
        <f t="shared" si="8"/>
        <v>0.17673979370981852</v>
      </c>
      <c r="L49" s="1">
        <f t="shared" si="9"/>
        <v>0.15178697647521</v>
      </c>
      <c r="M49" s="1">
        <f t="shared" si="10"/>
        <v>1.9982375360829974E-3</v>
      </c>
      <c r="N49" s="1">
        <f t="shared" si="11"/>
        <v>0.30157571541433703</v>
      </c>
      <c r="O49" s="1">
        <f t="shared" si="12"/>
        <v>0.11970532992852251</v>
      </c>
      <c r="P49" s="1">
        <f t="shared" si="13"/>
        <v>0.18386862302189749</v>
      </c>
    </row>
    <row r="50" spans="1:16" x14ac:dyDescent="0.25">
      <c r="A50" s="1">
        <f t="shared" si="0"/>
        <v>0.57949759221514796</v>
      </c>
      <c r="B50" s="1">
        <f t="shared" si="1"/>
        <v>0.14787197289120599</v>
      </c>
      <c r="C50" s="1" t="e">
        <f>B50-#REF!</f>
        <v>#REF!</v>
      </c>
      <c r="D50" s="1" t="e">
        <f>B50+#REF!</f>
        <v>#REF!</v>
      </c>
      <c r="E50" s="1">
        <f t="shared" si="2"/>
        <v>0.11916325091984489</v>
      </c>
      <c r="F50" s="1">
        <f t="shared" si="3"/>
        <v>0.17658069486256708</v>
      </c>
      <c r="G50" s="1">
        <f t="shared" si="4"/>
        <v>0.14805791346506</v>
      </c>
      <c r="H50" s="1">
        <f t="shared" si="5"/>
        <v>3.2324630638820018E-3</v>
      </c>
      <c r="I50" s="1">
        <f t="shared" si="6"/>
        <v>0.29288336386623803</v>
      </c>
      <c r="J50" s="1">
        <f t="shared" si="7"/>
        <v>0.1193198942997068</v>
      </c>
      <c r="K50" s="1">
        <f t="shared" si="8"/>
        <v>0.17679593263041321</v>
      </c>
      <c r="L50" s="1">
        <f t="shared" si="9"/>
        <v>0.15348407656669699</v>
      </c>
      <c r="M50" s="1">
        <f t="shared" si="10"/>
        <v>1.4983241394109781E-3</v>
      </c>
      <c r="N50" s="1">
        <f t="shared" si="11"/>
        <v>0.30546982899398301</v>
      </c>
      <c r="O50" s="1">
        <f t="shared" si="12"/>
        <v>0.12303083706230789</v>
      </c>
      <c r="P50" s="1">
        <f t="shared" si="13"/>
        <v>0.1839373160710861</v>
      </c>
    </row>
    <row r="51" spans="1:16" x14ac:dyDescent="0.25">
      <c r="A51" s="1">
        <f t="shared" si="0"/>
        <v>0.62089027737336999</v>
      </c>
      <c r="B51" s="1">
        <f t="shared" si="1"/>
        <v>0.15018283208889599</v>
      </c>
      <c r="C51" s="1" t="e">
        <f>B51-#REF!</f>
        <v>#REF!</v>
      </c>
      <c r="D51" s="1" t="e">
        <f>B51+#REF!</f>
        <v>#REF!</v>
      </c>
      <c r="E51" s="1">
        <f t="shared" si="2"/>
        <v>0.12391845811565939</v>
      </c>
      <c r="F51" s="1">
        <f t="shared" si="3"/>
        <v>0.1764472060621326</v>
      </c>
      <c r="G51" s="1">
        <f t="shared" si="4"/>
        <v>0.15036313409852001</v>
      </c>
      <c r="H51" s="1">
        <f t="shared" si="5"/>
        <v>2.5526392383100061E-3</v>
      </c>
      <c r="I51" s="1">
        <f t="shared" si="6"/>
        <v>0.29817362895873001</v>
      </c>
      <c r="J51" s="1">
        <f t="shared" si="7"/>
        <v>0.12408045730871181</v>
      </c>
      <c r="K51" s="1">
        <f t="shared" si="8"/>
        <v>0.1766458108883282</v>
      </c>
      <c r="L51" s="1">
        <f t="shared" si="9"/>
        <v>0.15588485230587401</v>
      </c>
      <c r="M51" s="1">
        <f t="shared" si="10"/>
        <v>7.692812282230066E-4</v>
      </c>
      <c r="N51" s="1">
        <f t="shared" si="11"/>
        <v>0.31100042338352502</v>
      </c>
      <c r="O51" s="1">
        <f t="shared" si="12"/>
        <v>0.1279424995319039</v>
      </c>
      <c r="P51" s="1">
        <f t="shared" si="13"/>
        <v>0.18382720507984412</v>
      </c>
    </row>
    <row r="52" spans="1:16" x14ac:dyDescent="0.25">
      <c r="A52" s="1">
        <f t="shared" si="0"/>
        <v>0.66228296253159202</v>
      </c>
      <c r="B52" s="1">
        <f t="shared" si="1"/>
        <v>0.148512263574167</v>
      </c>
      <c r="C52" s="1" t="e">
        <f>B52-#REF!</f>
        <v>#REF!</v>
      </c>
      <c r="D52" s="1" t="e">
        <f>B52+#REF!</f>
        <v>#REF!</v>
      </c>
      <c r="E52" s="1">
        <f t="shared" si="2"/>
        <v>0.120900215320718</v>
      </c>
      <c r="F52" s="1">
        <f t="shared" si="3"/>
        <v>0.17612431182761601</v>
      </c>
      <c r="G52" s="1">
        <f t="shared" si="4"/>
        <v>0.148735919533724</v>
      </c>
      <c r="H52" s="1">
        <f t="shared" si="5"/>
        <v>3.1010331265899915E-3</v>
      </c>
      <c r="I52" s="1">
        <f t="shared" si="6"/>
        <v>0.29437080594085802</v>
      </c>
      <c r="J52" s="1">
        <f t="shared" si="7"/>
        <v>0.12107564764113951</v>
      </c>
      <c r="K52" s="1">
        <f t="shared" si="8"/>
        <v>0.1763961914263085</v>
      </c>
      <c r="L52" s="1">
        <f t="shared" si="9"/>
        <v>0.15427053758470299</v>
      </c>
      <c r="M52" s="1">
        <f t="shared" si="10"/>
        <v>1.3676114006089812E-3</v>
      </c>
      <c r="N52" s="1">
        <f t="shared" si="11"/>
        <v>0.30717346376879701</v>
      </c>
      <c r="O52" s="1">
        <f t="shared" si="12"/>
        <v>0.12520815693356979</v>
      </c>
      <c r="P52" s="1">
        <f t="shared" si="13"/>
        <v>0.1833329182358362</v>
      </c>
    </row>
    <row r="53" spans="1:16" x14ac:dyDescent="0.25">
      <c r="A53" s="1">
        <f t="shared" si="0"/>
        <v>0.70367564768981405</v>
      </c>
      <c r="B53" s="1">
        <f t="shared" si="1"/>
        <v>0.14985862546420101</v>
      </c>
      <c r="C53" s="1" t="e">
        <f>B53-#REF!</f>
        <v>#REF!</v>
      </c>
      <c r="D53" s="1" t="e">
        <f>B53+#REF!</f>
        <v>#REF!</v>
      </c>
      <c r="E53" s="1">
        <f t="shared" si="2"/>
        <v>0.1239321028884862</v>
      </c>
      <c r="F53" s="1">
        <f t="shared" si="3"/>
        <v>0.1757851480399158</v>
      </c>
      <c r="G53" s="1">
        <f t="shared" si="4"/>
        <v>0.15014510861761601</v>
      </c>
      <c r="H53" s="1">
        <f t="shared" si="5"/>
        <v>2.7056414237740245E-3</v>
      </c>
      <c r="I53" s="1">
        <f t="shared" si="6"/>
        <v>0.29758457581145803</v>
      </c>
      <c r="J53" s="1">
        <f t="shared" si="7"/>
        <v>0.1241570508048648</v>
      </c>
      <c r="K53" s="1">
        <f t="shared" si="8"/>
        <v>0.17613316643036722</v>
      </c>
      <c r="L53" s="1">
        <f t="shared" si="9"/>
        <v>0.15576067425039899</v>
      </c>
      <c r="M53" s="1">
        <f t="shared" si="10"/>
        <v>9.4599105407000561E-4</v>
      </c>
      <c r="N53" s="1">
        <f t="shared" si="11"/>
        <v>0.31057535744672798</v>
      </c>
      <c r="O53" s="1">
        <f t="shared" si="12"/>
        <v>0.1285148447186871</v>
      </c>
      <c r="P53" s="1">
        <f t="shared" si="13"/>
        <v>0.18300650378211089</v>
      </c>
    </row>
    <row r="54" spans="1:16" x14ac:dyDescent="0.25">
      <c r="A54" s="1">
        <f t="shared" si="0"/>
        <v>0.74506833284806095</v>
      </c>
      <c r="B54" s="1">
        <f t="shared" si="1"/>
        <v>0.14984310483543301</v>
      </c>
      <c r="C54" s="1" t="e">
        <f>B54-#REF!</f>
        <v>#REF!</v>
      </c>
      <c r="D54" s="1" t="e">
        <f>B54+#REF!</f>
        <v>#REF!</v>
      </c>
      <c r="E54" s="1">
        <f t="shared" si="2"/>
        <v>0.12350266464604011</v>
      </c>
      <c r="F54" s="1">
        <f t="shared" si="3"/>
        <v>0.17618354502482592</v>
      </c>
      <c r="G54" s="1">
        <f t="shared" si="4"/>
        <v>0.15011852014433499</v>
      </c>
      <c r="H54" s="1">
        <f t="shared" si="5"/>
        <v>2.6527032237119996E-3</v>
      </c>
      <c r="I54" s="1">
        <f t="shared" si="6"/>
        <v>0.29758433706495802</v>
      </c>
      <c r="J54" s="1">
        <f t="shared" si="7"/>
        <v>0.12372124512121789</v>
      </c>
      <c r="K54" s="1">
        <f t="shared" si="8"/>
        <v>0.17651579516745208</v>
      </c>
      <c r="L54" s="1">
        <f t="shared" si="9"/>
        <v>0.15563649619492401</v>
      </c>
      <c r="M54" s="1">
        <f t="shared" si="10"/>
        <v>8.7558850702601498E-4</v>
      </c>
      <c r="N54" s="1">
        <f t="shared" si="11"/>
        <v>0.310397403882822</v>
      </c>
      <c r="O54" s="1">
        <f t="shared" si="12"/>
        <v>0.12759745488210422</v>
      </c>
      <c r="P54" s="1">
        <f t="shared" si="13"/>
        <v>0.18367553750774379</v>
      </c>
    </row>
    <row r="55" spans="1:16" x14ac:dyDescent="0.25">
      <c r="A55" s="1">
        <f t="shared" si="0"/>
        <v>0.78646101800628598</v>
      </c>
      <c r="B55" s="1">
        <f t="shared" si="1"/>
        <v>0.15248087264618199</v>
      </c>
      <c r="C55" s="1" t="e">
        <f>B55-#REF!</f>
        <v>#REF!</v>
      </c>
      <c r="D55" s="1" t="e">
        <f>B55+#REF!</f>
        <v>#REF!</v>
      </c>
      <c r="E55" s="1">
        <f t="shared" si="2"/>
        <v>0.12987358103375229</v>
      </c>
      <c r="F55" s="1">
        <f t="shared" si="3"/>
        <v>0.17508816425861168</v>
      </c>
      <c r="G55" s="1">
        <f t="shared" si="4"/>
        <v>0.15275077899914999</v>
      </c>
      <c r="H55" s="1">
        <f t="shared" si="5"/>
        <v>1.9337831266179883E-3</v>
      </c>
      <c r="I55" s="1">
        <f t="shared" si="6"/>
        <v>0.30356777487168196</v>
      </c>
      <c r="J55" s="1">
        <f t="shared" si="7"/>
        <v>0.13011619894109819</v>
      </c>
      <c r="K55" s="1">
        <f t="shared" si="8"/>
        <v>0.17538535905720179</v>
      </c>
      <c r="L55" s="1">
        <f t="shared" si="9"/>
        <v>0.15845119878568301</v>
      </c>
      <c r="M55" s="1">
        <f t="shared" si="10"/>
        <v>1.135156820190053E-4</v>
      </c>
      <c r="N55" s="1">
        <f t="shared" si="11"/>
        <v>0.31678888188934701</v>
      </c>
      <c r="O55" s="1">
        <f t="shared" si="12"/>
        <v>0.13457408573486632</v>
      </c>
      <c r="P55" s="1">
        <f t="shared" si="13"/>
        <v>0.1823283118364997</v>
      </c>
    </row>
    <row r="56" spans="1:16" x14ac:dyDescent="0.25">
      <c r="A56" s="1">
        <f t="shared" si="0"/>
        <v>0.82785370316449203</v>
      </c>
      <c r="B56" s="1">
        <f t="shared" si="1"/>
        <v>0.150313113755877</v>
      </c>
      <c r="C56" s="1" t="e">
        <f>B56-#REF!</f>
        <v>#REF!</v>
      </c>
      <c r="D56" s="1" t="e">
        <f>B56+#REF!</f>
        <v>#REF!</v>
      </c>
      <c r="E56" s="1">
        <f t="shared" si="2"/>
        <v>0.12454061173413281</v>
      </c>
      <c r="F56" s="1">
        <f t="shared" si="3"/>
        <v>0.17608561577762119</v>
      </c>
      <c r="G56" s="1">
        <f t="shared" si="4"/>
        <v>0.150464170296987</v>
      </c>
      <c r="H56" s="1">
        <f t="shared" si="5"/>
        <v>2.5861650856799923E-3</v>
      </c>
      <c r="I56" s="1">
        <f t="shared" si="6"/>
        <v>0.29834217550829401</v>
      </c>
      <c r="J56" s="1">
        <f t="shared" si="7"/>
        <v>0.12469036990742741</v>
      </c>
      <c r="K56" s="1">
        <f t="shared" si="8"/>
        <v>0.17623797068654659</v>
      </c>
      <c r="L56" s="1">
        <f t="shared" si="9"/>
        <v>0.15605042304650699</v>
      </c>
      <c r="M56" s="1">
        <f t="shared" si="10"/>
        <v>8.1166954659597779E-4</v>
      </c>
      <c r="N56" s="1">
        <f t="shared" si="11"/>
        <v>0.31128917654641797</v>
      </c>
      <c r="O56" s="1">
        <f t="shared" si="12"/>
        <v>0.12885912955674958</v>
      </c>
      <c r="P56" s="1">
        <f t="shared" si="13"/>
        <v>0.18324171653626439</v>
      </c>
    </row>
    <row r="57" spans="1:16" x14ac:dyDescent="0.25">
      <c r="A57" s="1">
        <f t="shared" si="0"/>
        <v>0.86924638832272205</v>
      </c>
      <c r="B57" s="1">
        <f t="shared" si="1"/>
        <v>0.15265110993227601</v>
      </c>
      <c r="C57" s="1" t="e">
        <f>B57-#REF!</f>
        <v>#REF!</v>
      </c>
      <c r="D57" s="1" t="e">
        <f>B57+#REF!</f>
        <v>#REF!</v>
      </c>
      <c r="E57" s="1">
        <f t="shared" si="2"/>
        <v>0.1303070793833333</v>
      </c>
      <c r="F57" s="1">
        <f t="shared" si="3"/>
        <v>0.17499514048121873</v>
      </c>
      <c r="G57" s="1">
        <f t="shared" si="4"/>
        <v>0.15296348678539801</v>
      </c>
      <c r="H57" s="1">
        <f t="shared" si="5"/>
        <v>1.8628073464970196E-3</v>
      </c>
      <c r="I57" s="1">
        <f t="shared" si="6"/>
        <v>0.30406416622429899</v>
      </c>
      <c r="J57" s="1">
        <f t="shared" si="7"/>
        <v>0.1305801656774446</v>
      </c>
      <c r="K57" s="1">
        <f t="shared" si="8"/>
        <v>0.17534680789335141</v>
      </c>
      <c r="L57" s="1">
        <f t="shared" si="9"/>
        <v>0.158658162211475</v>
      </c>
      <c r="M57" s="1">
        <f t="shared" si="10"/>
        <v>3.5222631886988598E-5</v>
      </c>
      <c r="N57" s="1">
        <f t="shared" si="11"/>
        <v>0.317281101791063</v>
      </c>
      <c r="O57" s="1">
        <f t="shared" si="12"/>
        <v>0.13497234189239649</v>
      </c>
      <c r="P57" s="1">
        <f t="shared" si="13"/>
        <v>0.18234398253055351</v>
      </c>
    </row>
    <row r="58" spans="1:16" x14ac:dyDescent="0.25">
      <c r="A58" s="1">
        <f t="shared" si="0"/>
        <v>0.91063907348097095</v>
      </c>
      <c r="B58" s="1">
        <f t="shared" si="1"/>
        <v>0.151529199131752</v>
      </c>
      <c r="C58" s="1" t="e">
        <f>B58-#REF!</f>
        <v>#REF!</v>
      </c>
      <c r="D58" s="1" t="e">
        <f>B58+#REF!</f>
        <v>#REF!</v>
      </c>
      <c r="E58" s="1">
        <f t="shared" si="2"/>
        <v>0.12767802035774711</v>
      </c>
      <c r="F58" s="1">
        <f t="shared" si="3"/>
        <v>0.17538037790575689</v>
      </c>
      <c r="G58" s="1">
        <f t="shared" si="4"/>
        <v>0.15195312480072101</v>
      </c>
      <c r="H58" s="1">
        <f t="shared" si="5"/>
        <v>2.1413852964740077E-3</v>
      </c>
      <c r="I58" s="1">
        <f t="shared" si="6"/>
        <v>0.30176486430496802</v>
      </c>
      <c r="J58" s="1">
        <f t="shared" si="7"/>
        <v>0.1280148505069186</v>
      </c>
      <c r="K58" s="1">
        <f t="shared" si="8"/>
        <v>0.17589139909452342</v>
      </c>
      <c r="L58" s="1">
        <f t="shared" si="9"/>
        <v>0.157581952397361</v>
      </c>
      <c r="M58" s="1">
        <f t="shared" si="10"/>
        <v>3.3114592477401228E-4</v>
      </c>
      <c r="N58" s="1">
        <f t="shared" si="11"/>
        <v>0.31483275886994799</v>
      </c>
      <c r="O58" s="1">
        <f t="shared" si="12"/>
        <v>0.13219614804860641</v>
      </c>
      <c r="P58" s="1">
        <f t="shared" si="13"/>
        <v>0.1829677567461156</v>
      </c>
    </row>
    <row r="59" spans="1:16" x14ac:dyDescent="0.25">
      <c r="A59" s="1">
        <f t="shared" si="0"/>
        <v>0.95203175863915301</v>
      </c>
      <c r="B59" s="1">
        <f t="shared" si="1"/>
        <v>0.15219089119613999</v>
      </c>
      <c r="C59" s="1" t="e">
        <f>B59-#REF!</f>
        <v>#REF!</v>
      </c>
      <c r="D59" s="1" t="e">
        <f>B59+#REF!</f>
        <v>#REF!</v>
      </c>
      <c r="E59" s="1">
        <f t="shared" si="2"/>
        <v>0.1295100996897198</v>
      </c>
      <c r="F59" s="1">
        <f t="shared" si="3"/>
        <v>0.17487168270256018</v>
      </c>
      <c r="G59" s="1">
        <f t="shared" si="4"/>
        <v>0.152617836632746</v>
      </c>
      <c r="H59" s="1">
        <f t="shared" si="5"/>
        <v>1.9813961561729876E-3</v>
      </c>
      <c r="I59" s="1">
        <f t="shared" si="6"/>
        <v>0.30325427710931901</v>
      </c>
      <c r="J59" s="1">
        <f t="shared" si="7"/>
        <v>0.12985193660391509</v>
      </c>
      <c r="K59" s="1">
        <f t="shared" si="8"/>
        <v>0.17538373666157692</v>
      </c>
      <c r="L59" s="1">
        <f t="shared" si="9"/>
        <v>0.15832702073020899</v>
      </c>
      <c r="M59" s="1">
        <f t="shared" si="10"/>
        <v>1.6666932142098134E-4</v>
      </c>
      <c r="N59" s="1">
        <f t="shared" si="11"/>
        <v>0.31648737213899703</v>
      </c>
      <c r="O59" s="1">
        <f t="shared" si="12"/>
        <v>0.13437965451381689</v>
      </c>
      <c r="P59" s="1">
        <f t="shared" si="13"/>
        <v>0.18227438694660109</v>
      </c>
    </row>
    <row r="60" spans="1:16" x14ac:dyDescent="0.25">
      <c r="A60" s="1">
        <f t="shared" si="0"/>
        <v>0.99342444379738704</v>
      </c>
      <c r="B60" s="1">
        <f t="shared" si="1"/>
        <v>0.15281715004347701</v>
      </c>
      <c r="C60" s="1" t="e">
        <f>B60-#REF!</f>
        <v>#REF!</v>
      </c>
      <c r="D60" s="1" t="e">
        <f>B60+#REF!</f>
        <v>#REF!</v>
      </c>
      <c r="E60" s="1">
        <f t="shared" si="2"/>
        <v>0.1312770560597771</v>
      </c>
      <c r="F60" s="1">
        <f t="shared" si="3"/>
        <v>0.17435724402717692</v>
      </c>
      <c r="G60" s="1">
        <f t="shared" si="4"/>
        <v>0.153255959991489</v>
      </c>
      <c r="H60" s="1">
        <f t="shared" si="5"/>
        <v>1.8205194874519881E-3</v>
      </c>
      <c r="I60" s="1">
        <f t="shared" si="6"/>
        <v>0.30469140049552601</v>
      </c>
      <c r="J60" s="1">
        <f t="shared" si="7"/>
        <v>0.13163959719535831</v>
      </c>
      <c r="K60" s="1">
        <f t="shared" si="8"/>
        <v>0.17487232278761969</v>
      </c>
      <c r="L60" s="1">
        <f t="shared" si="9"/>
        <v>0.15903069637789899</v>
      </c>
      <c r="M60" s="1">
        <f t="shared" si="10"/>
        <v>-6.8209987200140709E-7</v>
      </c>
      <c r="N60" s="1">
        <f t="shared" si="11"/>
        <v>0.31806207485566995</v>
      </c>
      <c r="O60" s="1">
        <f t="shared" si="12"/>
        <v>0.13645997706377938</v>
      </c>
      <c r="P60" s="1">
        <f t="shared" si="13"/>
        <v>0.1816014156920186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zoomScaleNormal="100" workbookViewId="0">
      <selection activeCell="A10" sqref="A10:N34"/>
    </sheetView>
  </sheetViews>
  <sheetFormatPr defaultColWidth="10.7109375" defaultRowHeight="15" x14ac:dyDescent="0.25"/>
  <cols>
    <col min="1" max="1" width="10.7109375" style="1"/>
    <col min="2" max="2" width="10.7109375" style="1" customWidth="1"/>
    <col min="3" max="16384" width="10.7109375" style="1"/>
  </cols>
  <sheetData>
    <row r="1" spans="1:17" x14ac:dyDescent="0.25">
      <c r="A1" s="1" t="s">
        <v>0</v>
      </c>
      <c r="B1" s="9">
        <v>16</v>
      </c>
      <c r="C1" s="9"/>
    </row>
    <row r="2" spans="1:17" x14ac:dyDescent="0.25">
      <c r="A2" s="1" t="s">
        <v>1</v>
      </c>
      <c r="B2" s="9">
        <v>100</v>
      </c>
      <c r="C2" s="9"/>
    </row>
    <row r="3" spans="1:17" x14ac:dyDescent="0.25">
      <c r="A3" s="1" t="s">
        <v>2</v>
      </c>
      <c r="B3" s="9">
        <v>1</v>
      </c>
      <c r="C3" s="9"/>
    </row>
    <row r="4" spans="1:17" x14ac:dyDescent="0.25">
      <c r="A4" s="1" t="s">
        <v>3</v>
      </c>
      <c r="B4" s="9">
        <v>10</v>
      </c>
      <c r="C4" s="9"/>
    </row>
    <row r="5" spans="1:17" x14ac:dyDescent="0.25">
      <c r="A5" s="1" t="s">
        <v>4</v>
      </c>
      <c r="B5" s="10">
        <v>1.1000000000000001</v>
      </c>
      <c r="C5" s="10"/>
    </row>
    <row r="6" spans="1:17" x14ac:dyDescent="0.25">
      <c r="A6" s="1" t="s">
        <v>5</v>
      </c>
      <c r="B6" s="10">
        <v>5.5100000000000003E-2</v>
      </c>
      <c r="C6" s="10"/>
    </row>
    <row r="7" spans="1:17" x14ac:dyDescent="0.25">
      <c r="A7" s="1" t="s">
        <v>6</v>
      </c>
      <c r="B7" s="8">
        <v>161803398874989</v>
      </c>
      <c r="C7" s="8"/>
    </row>
    <row r="10" spans="1:17" x14ac:dyDescent="0.25">
      <c r="A10" t="s">
        <v>7</v>
      </c>
      <c r="B10" t="s">
        <v>40</v>
      </c>
      <c r="C10" t="s">
        <v>9</v>
      </c>
      <c r="D10" t="s">
        <v>41</v>
      </c>
      <c r="E10" t="s">
        <v>11</v>
      </c>
      <c r="F10" t="s">
        <v>12</v>
      </c>
      <c r="G10" t="s">
        <v>13</v>
      </c>
      <c r="H10" t="s">
        <v>42</v>
      </c>
      <c r="I10" t="s">
        <v>15</v>
      </c>
      <c r="J10" t="s">
        <v>16</v>
      </c>
      <c r="K10" t="s">
        <v>17</v>
      </c>
      <c r="L10" t="s">
        <v>43</v>
      </c>
      <c r="M10" t="s">
        <v>19</v>
      </c>
      <c r="N10" t="s">
        <v>20</v>
      </c>
      <c r="O10" s="2" t="s">
        <v>38</v>
      </c>
      <c r="P10" s="2" t="s">
        <v>39</v>
      </c>
      <c r="Q10" s="1" t="s">
        <v>36</v>
      </c>
    </row>
    <row r="11" spans="1:17" x14ac:dyDescent="0.25">
      <c r="A11">
        <v>1.1000000000000001</v>
      </c>
      <c r="B11">
        <v>4.1392685158224501E-2</v>
      </c>
      <c r="C11">
        <v>1.16698945702214</v>
      </c>
      <c r="D11">
        <v>6.2995613940779099E-2</v>
      </c>
      <c r="E11">
        <v>1.47186571429974E-2</v>
      </c>
      <c r="F11">
        <v>5.2758829232803901E-2</v>
      </c>
      <c r="G11">
        <v>1.1620268781297001</v>
      </c>
      <c r="H11">
        <v>6.2303650498857603E-2</v>
      </c>
      <c r="I11">
        <v>3.05121369746039E-2</v>
      </c>
      <c r="J11">
        <v>4.6887447536324199E-2</v>
      </c>
      <c r="K11">
        <v>1.1738917545300001</v>
      </c>
      <c r="L11">
        <v>6.7180328011798504E-2</v>
      </c>
      <c r="M11">
        <v>3.2841388404788202E-2</v>
      </c>
      <c r="N11">
        <v>4.3491382639217098E-2</v>
      </c>
      <c r="O11" s="2">
        <v>1000</v>
      </c>
      <c r="P11" s="2">
        <v>0</v>
      </c>
      <c r="Q11" s="1">
        <v>0</v>
      </c>
    </row>
    <row r="12" spans="1:17" x14ac:dyDescent="0.25">
      <c r="A12">
        <v>1.21000000000001</v>
      </c>
      <c r="B12">
        <v>8.2785370316449003E-2</v>
      </c>
      <c r="C12">
        <v>1.3851544379973699</v>
      </c>
      <c r="D12">
        <v>0.124496379387533</v>
      </c>
      <c r="E12">
        <v>0.14015268021158001</v>
      </c>
      <c r="F12">
        <v>0.106549194303573</v>
      </c>
      <c r="G12">
        <v>1.3426139354492801</v>
      </c>
      <c r="H12">
        <v>0.118901305426098</v>
      </c>
      <c r="I12">
        <v>7.9990105789255903E-2</v>
      </c>
      <c r="J12">
        <v>8.3613774219636103E-2</v>
      </c>
      <c r="K12">
        <v>1.3349629376600001</v>
      </c>
      <c r="L12">
        <v>0.118258901497047</v>
      </c>
      <c r="M12">
        <v>7.6555970673664805E-2</v>
      </c>
      <c r="N12">
        <v>7.5146215114544598E-2</v>
      </c>
      <c r="O12" s="2">
        <v>1000</v>
      </c>
      <c r="P12" s="2">
        <v>0</v>
      </c>
      <c r="Q12" s="1">
        <v>0</v>
      </c>
    </row>
    <row r="13" spans="1:17" x14ac:dyDescent="0.25">
      <c r="A13">
        <v>1.33099999999998</v>
      </c>
      <c r="B13">
        <v>0.124178055474673</v>
      </c>
      <c r="C13">
        <v>1.6181838118006699</v>
      </c>
      <c r="D13">
        <v>0.18359089930223499</v>
      </c>
      <c r="E13">
        <v>0.24952109729751801</v>
      </c>
      <c r="F13">
        <v>0.13556394149406201</v>
      </c>
      <c r="G13">
        <v>1.53127969744838</v>
      </c>
      <c r="H13">
        <v>0.17172422868611001</v>
      </c>
      <c r="I13">
        <v>0.13499464618072801</v>
      </c>
      <c r="J13">
        <v>0.10420079767796001</v>
      </c>
      <c r="K13">
        <v>1.49935818295999</v>
      </c>
      <c r="L13">
        <v>0.165239599151634</v>
      </c>
      <c r="M13">
        <v>0.123562330831661</v>
      </c>
      <c r="N13">
        <v>9.3395575264111505E-2</v>
      </c>
      <c r="O13" s="2">
        <v>1000</v>
      </c>
      <c r="P13" s="2">
        <v>0</v>
      </c>
      <c r="Q13" s="1">
        <v>0</v>
      </c>
    </row>
    <row r="14" spans="1:17" x14ac:dyDescent="0.25">
      <c r="A14">
        <v>1.46409999999998</v>
      </c>
      <c r="B14">
        <v>0.16557074063289801</v>
      </c>
      <c r="C14">
        <v>1.7808225523896899</v>
      </c>
      <c r="D14">
        <v>0.22103788388878201</v>
      </c>
      <c r="E14">
        <v>0.39922382918484101</v>
      </c>
      <c r="F14">
        <v>0.148328935469419</v>
      </c>
      <c r="G14">
        <v>1.64992749231168</v>
      </c>
      <c r="H14">
        <v>0.20334654913227601</v>
      </c>
      <c r="I14">
        <v>0.170102977095059</v>
      </c>
      <c r="J14">
        <v>0.109078971584695</v>
      </c>
      <c r="K14">
        <v>1.6032330639599801</v>
      </c>
      <c r="L14">
        <v>0.193634981170177</v>
      </c>
      <c r="M14">
        <v>0.153680254012418</v>
      </c>
      <c r="N14">
        <v>9.7847123894990298E-2</v>
      </c>
      <c r="O14" s="2">
        <v>1000</v>
      </c>
      <c r="P14" s="2">
        <v>0</v>
      </c>
      <c r="Q14" s="1">
        <v>0</v>
      </c>
    </row>
    <row r="15" spans="1:17" x14ac:dyDescent="0.25">
      <c r="A15">
        <v>1.6105099999999799</v>
      </c>
      <c r="B15">
        <v>0.20696342579112301</v>
      </c>
      <c r="C15">
        <v>1.9060977391142</v>
      </c>
      <c r="D15">
        <v>0.25103107726228002</v>
      </c>
      <c r="E15">
        <v>0.422622924676403</v>
      </c>
      <c r="F15">
        <v>0.150196692948248</v>
      </c>
      <c r="G15">
        <v>1.7509497357808601</v>
      </c>
      <c r="H15">
        <v>0.22948687098298201</v>
      </c>
      <c r="I15">
        <v>0.20023619644278901</v>
      </c>
      <c r="J15">
        <v>0.109393677513605</v>
      </c>
      <c r="K15">
        <v>1.69120271209998</v>
      </c>
      <c r="L15">
        <v>0.21702184828457399</v>
      </c>
      <c r="M15">
        <v>0.17937326506807799</v>
      </c>
      <c r="N15">
        <v>9.8316058732488706E-2</v>
      </c>
      <c r="O15" s="2">
        <v>1000</v>
      </c>
      <c r="P15" s="2">
        <v>0</v>
      </c>
      <c r="Q15" s="1">
        <v>0</v>
      </c>
    </row>
    <row r="16" spans="1:17" x14ac:dyDescent="0.25">
      <c r="A16">
        <v>1.7715610000000099</v>
      </c>
      <c r="B16">
        <v>0.24835611094934601</v>
      </c>
      <c r="C16">
        <v>1.9940059185896499</v>
      </c>
      <c r="D16">
        <v>0.26958602663964898</v>
      </c>
      <c r="E16">
        <v>0.54422502709049003</v>
      </c>
      <c r="F16">
        <v>0.15315498437275801</v>
      </c>
      <c r="G16">
        <v>1.8095988133752099</v>
      </c>
      <c r="H16">
        <v>0.244536619711169</v>
      </c>
      <c r="I16">
        <v>0.21776125930561799</v>
      </c>
      <c r="J16">
        <v>0.107256899096388</v>
      </c>
      <c r="K16">
        <v>1.74101748545998</v>
      </c>
      <c r="L16">
        <v>0.23006054410941401</v>
      </c>
      <c r="M16">
        <v>0.19397744923334501</v>
      </c>
      <c r="N16">
        <v>9.7128640377150702E-2</v>
      </c>
      <c r="O16" s="2">
        <v>1000</v>
      </c>
      <c r="P16" s="2">
        <v>0</v>
      </c>
      <c r="Q16" s="1">
        <v>0</v>
      </c>
    </row>
    <row r="17" spans="1:17" x14ac:dyDescent="0.25">
      <c r="A17">
        <v>1.9487171000000201</v>
      </c>
      <c r="B17">
        <v>0.28974879610757398</v>
      </c>
      <c r="C17">
        <v>2.04745286783715</v>
      </c>
      <c r="D17">
        <v>0.281620432195897</v>
      </c>
      <c r="E17">
        <v>0.60593638571012398</v>
      </c>
      <c r="F17">
        <v>0.152035094909655</v>
      </c>
      <c r="G17">
        <v>1.85067930940366</v>
      </c>
      <c r="H17">
        <v>0.25503055834569999</v>
      </c>
      <c r="I17">
        <v>0.23004716614606399</v>
      </c>
      <c r="J17">
        <v>0.10467412315702</v>
      </c>
      <c r="K17">
        <v>1.7770300378599799</v>
      </c>
      <c r="L17">
        <v>0.23953946901064799</v>
      </c>
      <c r="M17">
        <v>0.20451888739124399</v>
      </c>
      <c r="N17">
        <v>9.4868601941258499E-2</v>
      </c>
      <c r="O17" s="2">
        <v>1000</v>
      </c>
      <c r="P17" s="2">
        <v>0</v>
      </c>
      <c r="Q17" s="1">
        <v>0</v>
      </c>
    </row>
    <row r="18" spans="1:17" x14ac:dyDescent="0.25">
      <c r="A18">
        <v>2.1435888099999798</v>
      </c>
      <c r="B18">
        <v>0.33114148126579601</v>
      </c>
      <c r="C18">
        <v>2.1355919812531399</v>
      </c>
      <c r="D18">
        <v>0.29752923528784597</v>
      </c>
      <c r="E18">
        <v>0.77665484710314303</v>
      </c>
      <c r="F18">
        <v>0.15851486035738899</v>
      </c>
      <c r="G18">
        <v>1.8900006499197599</v>
      </c>
      <c r="H18">
        <v>0.264627217400285</v>
      </c>
      <c r="I18">
        <v>0.241870738659029</v>
      </c>
      <c r="J18">
        <v>0.103309536142665</v>
      </c>
      <c r="K18">
        <v>1.8118530343099699</v>
      </c>
      <c r="L18">
        <v>0.24835611094935001</v>
      </c>
      <c r="M18">
        <v>0.21476210317913699</v>
      </c>
      <c r="N18">
        <v>9.3561287365728898E-2</v>
      </c>
      <c r="O18" s="2">
        <v>1000</v>
      </c>
      <c r="P18" s="2">
        <v>0</v>
      </c>
      <c r="Q18" s="1">
        <v>0</v>
      </c>
    </row>
    <row r="19" spans="1:17" x14ac:dyDescent="0.25">
      <c r="A19">
        <v>2.3579476909999699</v>
      </c>
      <c r="B19">
        <v>0.37253416642402998</v>
      </c>
      <c r="C19">
        <v>2.1102477948523402</v>
      </c>
      <c r="D19">
        <v>0.29684189177169601</v>
      </c>
      <c r="E19">
        <v>0.59820638438801998</v>
      </c>
      <c r="F19">
        <v>0.14773173158497799</v>
      </c>
      <c r="G19">
        <v>1.9065556676544699</v>
      </c>
      <c r="H19">
        <v>0.26897902336302798</v>
      </c>
      <c r="I19">
        <v>0.246813182717319</v>
      </c>
      <c r="J19">
        <v>0.100934798591615</v>
      </c>
      <c r="K19">
        <v>1.82577137764998</v>
      </c>
      <c r="L19">
        <v>0.25208145261359</v>
      </c>
      <c r="M19">
        <v>0.21883434223853501</v>
      </c>
      <c r="N19">
        <v>9.1727636155538597E-2</v>
      </c>
      <c r="O19" s="2">
        <v>1000</v>
      </c>
      <c r="P19" s="2">
        <v>0</v>
      </c>
      <c r="Q19" s="1">
        <v>0</v>
      </c>
    </row>
    <row r="20" spans="1:17" x14ac:dyDescent="0.25">
      <c r="A20">
        <v>2.5937424601000201</v>
      </c>
      <c r="B20">
        <v>0.41392685158224601</v>
      </c>
      <c r="C20">
        <v>2.2416218629114701</v>
      </c>
      <c r="D20">
        <v>0.32241226801432199</v>
      </c>
      <c r="E20">
        <v>0.741756807744966</v>
      </c>
      <c r="F20">
        <v>0.15081055014599301</v>
      </c>
      <c r="G20">
        <v>1.9767662757298901</v>
      </c>
      <c r="H20">
        <v>0.285949458286405</v>
      </c>
      <c r="I20">
        <v>0.26797412543405003</v>
      </c>
      <c r="J20">
        <v>9.6190202250280701E-2</v>
      </c>
      <c r="K20">
        <v>1.8871764600699801</v>
      </c>
      <c r="L20">
        <v>0.267438138807291</v>
      </c>
      <c r="M20">
        <v>0.2369394044966</v>
      </c>
      <c r="N20">
        <v>8.7660325532513197E-2</v>
      </c>
      <c r="O20" s="2">
        <v>1000</v>
      </c>
      <c r="P20" s="2">
        <v>0</v>
      </c>
      <c r="Q20" s="1">
        <v>0</v>
      </c>
    </row>
    <row r="21" spans="1:17" x14ac:dyDescent="0.25">
      <c r="A21">
        <v>2.85311670611005</v>
      </c>
      <c r="B21">
        <v>0.45531953674048498</v>
      </c>
      <c r="C21">
        <v>2.19851945948407</v>
      </c>
      <c r="D21">
        <v>0.31702195120195797</v>
      </c>
      <c r="E21">
        <v>0.614077108734701</v>
      </c>
      <c r="F21">
        <v>0.14241291965325001</v>
      </c>
      <c r="G21">
        <v>1.97938374729556</v>
      </c>
      <c r="H21">
        <v>0.28673161520326401</v>
      </c>
      <c r="I21">
        <v>0.26873647402314499</v>
      </c>
      <c r="J21">
        <v>9.5127743287480596E-2</v>
      </c>
      <c r="K21">
        <v>1.8896104488799801</v>
      </c>
      <c r="L21">
        <v>0.26818320714013899</v>
      </c>
      <c r="M21">
        <v>0.237632764136397</v>
      </c>
      <c r="N21">
        <v>8.6627868410495995E-2</v>
      </c>
      <c r="O21" s="2">
        <v>1000</v>
      </c>
      <c r="P21" s="2">
        <v>0</v>
      </c>
      <c r="Q21" s="1">
        <v>0</v>
      </c>
    </row>
    <row r="22" spans="1:17" x14ac:dyDescent="0.25">
      <c r="A22">
        <v>3.1384283767210501</v>
      </c>
      <c r="B22">
        <v>0.49671222189869302</v>
      </c>
      <c r="C22">
        <v>2.3172885329047102</v>
      </c>
      <c r="D22">
        <v>0.33934149821417597</v>
      </c>
      <c r="E22">
        <v>0.81875782569170297</v>
      </c>
      <c r="F22">
        <v>0.14362944583058801</v>
      </c>
      <c r="G22">
        <v>2.0395584710118202</v>
      </c>
      <c r="H22">
        <v>0.30145631170626302</v>
      </c>
      <c r="I22">
        <v>0.28683127880109299</v>
      </c>
      <c r="J22">
        <v>8.6999970633542395E-2</v>
      </c>
      <c r="K22">
        <v>1.94207138795998</v>
      </c>
      <c r="L22">
        <v>0.28142886639077103</v>
      </c>
      <c r="M22">
        <v>0.25307775303436397</v>
      </c>
      <c r="N22">
        <v>7.9709752128887201E-2</v>
      </c>
      <c r="O22" s="2">
        <v>1000</v>
      </c>
      <c r="P22" s="2">
        <v>0</v>
      </c>
      <c r="Q22" s="1">
        <v>0</v>
      </c>
    </row>
    <row r="23" spans="1:17" x14ac:dyDescent="0.25">
      <c r="A23">
        <v>3.4522712143930399</v>
      </c>
      <c r="B23">
        <v>0.53810490705693204</v>
      </c>
      <c r="C23">
        <v>2.3698531527454398</v>
      </c>
      <c r="D23">
        <v>0.34727725640954499</v>
      </c>
      <c r="E23">
        <v>0.95015884799335204</v>
      </c>
      <c r="F23">
        <v>0.149007020037459</v>
      </c>
      <c r="G23">
        <v>2.05127813075624</v>
      </c>
      <c r="H23">
        <v>0.30397461996130298</v>
      </c>
      <c r="I23">
        <v>0.29038521633365899</v>
      </c>
      <c r="J23">
        <v>8.7181696180999593E-2</v>
      </c>
      <c r="K23">
        <v>1.95300937534998</v>
      </c>
      <c r="L23">
        <v>0.28395382018542198</v>
      </c>
      <c r="M23">
        <v>0.25631670883938401</v>
      </c>
      <c r="N23">
        <v>7.9470571645344601E-2</v>
      </c>
      <c r="O23" s="2">
        <v>1000</v>
      </c>
      <c r="P23" s="2">
        <v>0</v>
      </c>
      <c r="Q23" s="1">
        <v>0</v>
      </c>
    </row>
    <row r="24" spans="1:17" x14ac:dyDescent="0.25">
      <c r="A24">
        <v>3.79749833583231</v>
      </c>
      <c r="B24">
        <v>0.57949759221514796</v>
      </c>
      <c r="C24">
        <v>2.37703834297267</v>
      </c>
      <c r="D24">
        <v>0.34755572065908302</v>
      </c>
      <c r="E24">
        <v>0.99537126702671597</v>
      </c>
      <c r="F24">
        <v>0.15167943061591799</v>
      </c>
      <c r="G24">
        <v>2.0438990248212701</v>
      </c>
      <c r="H24">
        <v>0.30238660440283099</v>
      </c>
      <c r="I24">
        <v>0.28815037065675098</v>
      </c>
      <c r="J24">
        <v>8.7094772695815698E-2</v>
      </c>
      <c r="K24">
        <v>1.94605340962998</v>
      </c>
      <c r="L24">
        <v>0.28233950546425202</v>
      </c>
      <c r="M24">
        <v>0.25425994156853998</v>
      </c>
      <c r="N24">
        <v>7.9692106701629906E-2</v>
      </c>
      <c r="O24" s="2">
        <v>1000</v>
      </c>
      <c r="P24" s="2">
        <v>0</v>
      </c>
      <c r="Q24" s="1">
        <v>0</v>
      </c>
    </row>
    <row r="25" spans="1:17" x14ac:dyDescent="0.25">
      <c r="A25">
        <v>4.1772481694156403</v>
      </c>
      <c r="B25">
        <v>0.62089027737336999</v>
      </c>
      <c r="C25">
        <v>2.3284998286279102</v>
      </c>
      <c r="D25">
        <v>0.341933590260803</v>
      </c>
      <c r="E25">
        <v>0.82527104241988802</v>
      </c>
      <c r="F25">
        <v>0.14215751683599101</v>
      </c>
      <c r="G25">
        <v>2.04840122599918</v>
      </c>
      <c r="H25">
        <v>0.30367834840188701</v>
      </c>
      <c r="I25">
        <v>0.28948716352605602</v>
      </c>
      <c r="J25">
        <v>8.51684826816589E-2</v>
      </c>
      <c r="K25">
        <v>1.9497476872499799</v>
      </c>
      <c r="L25">
        <v>0.28341571527836501</v>
      </c>
      <c r="M25">
        <v>0.25533280861517099</v>
      </c>
      <c r="N25">
        <v>7.8134152539423796E-2</v>
      </c>
      <c r="O25" s="2">
        <v>1000</v>
      </c>
      <c r="P25" s="2">
        <v>0</v>
      </c>
      <c r="Q25" s="1">
        <v>0</v>
      </c>
    </row>
    <row r="26" spans="1:17" x14ac:dyDescent="0.25">
      <c r="A26">
        <v>4.5949729863572504</v>
      </c>
      <c r="B26">
        <v>0.66228296253159202</v>
      </c>
      <c r="C26">
        <v>2.4078647554624601</v>
      </c>
      <c r="D26">
        <v>0.356121864315396</v>
      </c>
      <c r="E26">
        <v>0.94742370803934195</v>
      </c>
      <c r="F26">
        <v>0.14363713748644399</v>
      </c>
      <c r="G26">
        <v>2.0807538764558999</v>
      </c>
      <c r="H26">
        <v>0.31126290032294901</v>
      </c>
      <c r="I26">
        <v>0.29924519717174702</v>
      </c>
      <c r="J26">
        <v>8.1242628923821794E-2</v>
      </c>
      <c r="K26">
        <v>1.9786613172699701</v>
      </c>
      <c r="L26">
        <v>0.29049386444042102</v>
      </c>
      <c r="M26">
        <v>0.26386287879918502</v>
      </c>
      <c r="N26">
        <v>7.4333021588555995E-2</v>
      </c>
      <c r="O26" s="2">
        <v>1000</v>
      </c>
      <c r="P26" s="2">
        <v>0</v>
      </c>
      <c r="Q26" s="1">
        <v>0</v>
      </c>
    </row>
    <row r="27" spans="1:17" x14ac:dyDescent="0.25">
      <c r="A27">
        <v>5.0544702849929299</v>
      </c>
      <c r="B27">
        <v>0.70367564768981405</v>
      </c>
      <c r="C27">
        <v>2.3942640830066799</v>
      </c>
      <c r="D27">
        <v>0.35347951579348702</v>
      </c>
      <c r="E27">
        <v>0.93003856823856101</v>
      </c>
      <c r="F27">
        <v>0.144090408409769</v>
      </c>
      <c r="G27">
        <v>2.0736647728044399</v>
      </c>
      <c r="H27">
        <v>0.30964525760853501</v>
      </c>
      <c r="I27">
        <v>0.297106099872119</v>
      </c>
      <c r="J27">
        <v>8.18945111259545E-2</v>
      </c>
      <c r="K27">
        <v>1.9722657291699801</v>
      </c>
      <c r="L27">
        <v>0.28896233508956698</v>
      </c>
      <c r="M27">
        <v>0.26197373375851501</v>
      </c>
      <c r="N27">
        <v>7.5010157570188404E-2</v>
      </c>
      <c r="O27" s="2">
        <v>1000</v>
      </c>
      <c r="P27" s="2">
        <v>0</v>
      </c>
      <c r="Q27" s="1">
        <v>0</v>
      </c>
    </row>
    <row r="28" spans="1:17" x14ac:dyDescent="0.25">
      <c r="A28">
        <v>5.5599173134923303</v>
      </c>
      <c r="B28">
        <v>0.74506833284806095</v>
      </c>
      <c r="C28">
        <v>2.4565024738705898</v>
      </c>
      <c r="D28">
        <v>0.36520928597756802</v>
      </c>
      <c r="E28">
        <v>1.0103134714670601</v>
      </c>
      <c r="F28">
        <v>0.14261513197602199</v>
      </c>
      <c r="G28">
        <v>2.1057144943978798</v>
      </c>
      <c r="H28">
        <v>0.31724758582316298</v>
      </c>
      <c r="I28">
        <v>0.306770092298987</v>
      </c>
      <c r="J28">
        <v>7.6650379219958195E-2</v>
      </c>
      <c r="K28">
        <v>2.0005100815699799</v>
      </c>
      <c r="L28">
        <v>0.295916306196148</v>
      </c>
      <c r="M28">
        <v>0.27030885754326101</v>
      </c>
      <c r="N28">
        <v>7.0315009116834998E-2</v>
      </c>
      <c r="O28" s="2">
        <v>1000</v>
      </c>
      <c r="P28" s="2">
        <v>0</v>
      </c>
      <c r="Q28" s="1">
        <v>0</v>
      </c>
    </row>
    <row r="29" spans="1:17" x14ac:dyDescent="0.25">
      <c r="A29">
        <v>6.1159090448415396</v>
      </c>
      <c r="B29">
        <v>0.78646101800628598</v>
      </c>
      <c r="C29">
        <v>2.4180008812981302</v>
      </c>
      <c r="D29">
        <v>0.36064758935820201</v>
      </c>
      <c r="E29">
        <v>0.88967730306242998</v>
      </c>
      <c r="F29">
        <v>0.13544729192457899</v>
      </c>
      <c r="G29">
        <v>2.1085698373815598</v>
      </c>
      <c r="H29">
        <v>0.31807714618952798</v>
      </c>
      <c r="I29">
        <v>0.30762064521097299</v>
      </c>
      <c r="J29">
        <v>7.5037571846021597E-2</v>
      </c>
      <c r="K29">
        <v>2.0027625703799798</v>
      </c>
      <c r="L29">
        <v>0.29657858915868002</v>
      </c>
      <c r="M29">
        <v>0.27096497336288999</v>
      </c>
      <c r="N29">
        <v>6.90719721057199E-2</v>
      </c>
      <c r="O29" s="2">
        <v>1000</v>
      </c>
      <c r="P29" s="2">
        <v>0</v>
      </c>
      <c r="Q29" s="1">
        <v>0</v>
      </c>
    </row>
    <row r="30" spans="1:17" x14ac:dyDescent="0.25">
      <c r="A30">
        <v>6.7274999493256402</v>
      </c>
      <c r="B30">
        <v>0.82785370316449203</v>
      </c>
      <c r="C30">
        <v>2.3663264408721898</v>
      </c>
      <c r="D30">
        <v>0.35281410064004298</v>
      </c>
      <c r="E30">
        <v>0.728110886980465</v>
      </c>
      <c r="F30">
        <v>0.131327396313177</v>
      </c>
      <c r="G30">
        <v>2.0962609355269399</v>
      </c>
      <c r="H30">
        <v>0.315061101714669</v>
      </c>
      <c r="I30">
        <v>0.30392554233820601</v>
      </c>
      <c r="J30">
        <v>7.7942461416474096E-2</v>
      </c>
      <c r="K30">
        <v>1.9919671270399799</v>
      </c>
      <c r="L30">
        <v>0.29384667193823699</v>
      </c>
      <c r="M30">
        <v>0.26779061035830598</v>
      </c>
      <c r="N30">
        <v>7.1600865197374894E-2</v>
      </c>
      <c r="O30" s="2">
        <v>1000</v>
      </c>
      <c r="P30" s="2">
        <v>0</v>
      </c>
      <c r="Q30" s="1">
        <v>0</v>
      </c>
    </row>
    <row r="31" spans="1:17" x14ac:dyDescent="0.25">
      <c r="A31">
        <v>7.4002499442583201</v>
      </c>
      <c r="B31">
        <v>0.86924638832272205</v>
      </c>
      <c r="C31">
        <v>2.3705701837091202</v>
      </c>
      <c r="D31">
        <v>0.35433325712904701</v>
      </c>
      <c r="E31">
        <v>0.76851950455414197</v>
      </c>
      <c r="F31">
        <v>0.12805264163480201</v>
      </c>
      <c r="G31">
        <v>2.1124032203200001</v>
      </c>
      <c r="H31">
        <v>0.31902521517966098</v>
      </c>
      <c r="I31">
        <v>0.30877838064040802</v>
      </c>
      <c r="J31">
        <v>7.4034821057212596E-2</v>
      </c>
      <c r="K31">
        <v>2.00590402561998</v>
      </c>
      <c r="L31">
        <v>0.29736505017668602</v>
      </c>
      <c r="M31">
        <v>0.271895728551803</v>
      </c>
      <c r="N31">
        <v>6.8377820247316895E-2</v>
      </c>
      <c r="O31" s="2">
        <v>1000</v>
      </c>
      <c r="P31" s="2">
        <v>0</v>
      </c>
      <c r="Q31" s="1">
        <v>0</v>
      </c>
    </row>
    <row r="32" spans="1:17" x14ac:dyDescent="0.25">
      <c r="A32">
        <v>8.1402749386841204</v>
      </c>
      <c r="B32">
        <v>0.91063907348097095</v>
      </c>
      <c r="C32">
        <v>2.42608190600947</v>
      </c>
      <c r="D32">
        <v>0.363345132575219</v>
      </c>
      <c r="E32">
        <v>0.89772190851599798</v>
      </c>
      <c r="F32">
        <v>0.13114963998403201</v>
      </c>
      <c r="G32">
        <v>2.1322545197628502</v>
      </c>
      <c r="H32">
        <v>0.32359964805705199</v>
      </c>
      <c r="I32">
        <v>0.31477529902055701</v>
      </c>
      <c r="J32">
        <v>7.0985818109724805E-2</v>
      </c>
      <c r="K32">
        <v>2.0237299234899799</v>
      </c>
      <c r="L32">
        <v>0.30166988943314199</v>
      </c>
      <c r="M32">
        <v>0.27716182311013898</v>
      </c>
      <c r="N32">
        <v>6.5363093974794603E-2</v>
      </c>
      <c r="O32" s="2">
        <v>1000</v>
      </c>
      <c r="P32" s="2">
        <v>0</v>
      </c>
      <c r="Q32" s="1">
        <v>0</v>
      </c>
    </row>
    <row r="33" spans="1:17" x14ac:dyDescent="0.25">
      <c r="A33">
        <v>8.9543024325522893</v>
      </c>
      <c r="B33">
        <v>0.95203175863915301</v>
      </c>
      <c r="C33">
        <v>2.4997882441508898</v>
      </c>
      <c r="D33">
        <v>0.37216564182205197</v>
      </c>
      <c r="E33">
        <v>1.2028524562709599</v>
      </c>
      <c r="F33">
        <v>0.14320920803613801</v>
      </c>
      <c r="G33">
        <v>2.1278885992679499</v>
      </c>
      <c r="H33">
        <v>0.3226101010486</v>
      </c>
      <c r="I33">
        <v>0.31344761420575501</v>
      </c>
      <c r="J33">
        <v>7.1551339035306402E-2</v>
      </c>
      <c r="K33">
        <v>2.02000389062998</v>
      </c>
      <c r="L33">
        <v>0.30080064304481902</v>
      </c>
      <c r="M33">
        <v>0.27605184267903998</v>
      </c>
      <c r="N33">
        <v>6.5764044188843102E-2</v>
      </c>
      <c r="O33" s="2">
        <v>1000</v>
      </c>
      <c r="P33" s="2">
        <v>0</v>
      </c>
      <c r="Q33" s="1">
        <v>0</v>
      </c>
    </row>
    <row r="34" spans="1:17" x14ac:dyDescent="0.25">
      <c r="A34">
        <v>9.8497326758077506</v>
      </c>
      <c r="B34">
        <v>0.99342444379738704</v>
      </c>
      <c r="C34">
        <v>2.54361818189847</v>
      </c>
      <c r="D34">
        <v>0.37880897521797402</v>
      </c>
      <c r="E34">
        <v>1.3009097543091299</v>
      </c>
      <c r="F34">
        <v>0.14611323173318699</v>
      </c>
      <c r="G34">
        <v>2.13295431338971</v>
      </c>
      <c r="H34">
        <v>0.32388406875409098</v>
      </c>
      <c r="I34">
        <v>0.31497371116398598</v>
      </c>
      <c r="J34">
        <v>6.9903407845430796E-2</v>
      </c>
      <c r="K34">
        <v>2.0242120346799801</v>
      </c>
      <c r="L34">
        <v>0.30187685285893301</v>
      </c>
      <c r="M34">
        <v>0.27729417056365602</v>
      </c>
      <c r="N34">
        <v>6.4519241629889298E-2</v>
      </c>
      <c r="O34" s="2">
        <v>1000</v>
      </c>
      <c r="P34" s="2">
        <v>0</v>
      </c>
      <c r="Q34" s="1">
        <v>0</v>
      </c>
    </row>
    <row r="36" spans="1:17" x14ac:dyDescent="0.25">
      <c r="A36" s="1" t="s">
        <v>8</v>
      </c>
      <c r="B36" s="1" t="s">
        <v>25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26</v>
      </c>
      <c r="H36" s="1" t="s">
        <v>27</v>
      </c>
      <c r="I36" s="1" t="s">
        <v>28</v>
      </c>
      <c r="J36" s="1" t="s">
        <v>29</v>
      </c>
      <c r="K36" s="1" t="s">
        <v>30</v>
      </c>
      <c r="L36" s="1" t="s">
        <v>31</v>
      </c>
      <c r="M36" s="1" t="s">
        <v>32</v>
      </c>
      <c r="N36" s="1" t="s">
        <v>33</v>
      </c>
      <c r="O36" s="1" t="s">
        <v>34</v>
      </c>
      <c r="P36" s="1" t="s">
        <v>35</v>
      </c>
    </row>
    <row r="37" spans="1:17" x14ac:dyDescent="0.25">
      <c r="A37" s="1">
        <f>$B11</f>
        <v>4.1392685158224501E-2</v>
      </c>
      <c r="B37" s="1">
        <f>$D11</f>
        <v>6.2995613940779099E-2</v>
      </c>
      <c r="C37" s="1">
        <f t="shared" ref="C37:C60" si="0">B37-$E11</f>
        <v>4.8276956797781698E-2</v>
      </c>
      <c r="D37" s="1">
        <f t="shared" ref="D37:D60" si="1">B37+$E11</f>
        <v>7.7714271083776501E-2</v>
      </c>
      <c r="E37" s="1">
        <f>$B37-$F11</f>
        <v>1.0236784707975198E-2</v>
      </c>
      <c r="F37" s="1">
        <f>$B37+$F11</f>
        <v>0.11575444317358299</v>
      </c>
      <c r="G37" s="1">
        <f>$H11</f>
        <v>6.2303650498857603E-2</v>
      </c>
      <c r="H37" s="1">
        <f>$G37-$I11</f>
        <v>3.1791513524253703E-2</v>
      </c>
      <c r="I37" s="1">
        <f>$G37+$I11</f>
        <v>9.2815787473461503E-2</v>
      </c>
      <c r="J37" s="1">
        <f>$G37-$J11</f>
        <v>1.5416202962533404E-2</v>
      </c>
      <c r="K37" s="1">
        <f>$G37+$J11</f>
        <v>0.1091910980351818</v>
      </c>
      <c r="L37" s="1">
        <f>$L11</f>
        <v>6.7180328011798504E-2</v>
      </c>
      <c r="M37" s="1">
        <f>$L37-$M11</f>
        <v>3.4338939607010302E-2</v>
      </c>
      <c r="N37" s="1">
        <f>$L37+$M11</f>
        <v>0.10002171641658671</v>
      </c>
      <c r="O37" s="1">
        <f>$L37-$N11</f>
        <v>2.3688945372581406E-2</v>
      </c>
      <c r="P37" s="1">
        <f>$L37+$N11</f>
        <v>0.11067171065101561</v>
      </c>
    </row>
    <row r="38" spans="1:17" x14ac:dyDescent="0.25">
      <c r="A38" s="1">
        <f t="shared" ref="A38:A60" si="2">$B12</f>
        <v>8.2785370316449003E-2</v>
      </c>
      <c r="B38" s="1">
        <f t="shared" ref="B38:B60" si="3">$D12</f>
        <v>0.124496379387533</v>
      </c>
      <c r="C38" s="1">
        <f t="shared" si="0"/>
        <v>-1.5656300824047009E-2</v>
      </c>
      <c r="D38" s="1">
        <f t="shared" si="1"/>
        <v>0.264649059599113</v>
      </c>
      <c r="E38" s="1">
        <f t="shared" ref="E38:E60" si="4">$B38-$F12</f>
        <v>1.7947185083959996E-2</v>
      </c>
      <c r="F38" s="1">
        <f t="shared" ref="F38:F60" si="5">$B38+$F12</f>
        <v>0.23104557369110601</v>
      </c>
      <c r="G38" s="1">
        <f t="shared" ref="G38:G60" si="6">$H12</f>
        <v>0.118901305426098</v>
      </c>
      <c r="H38" s="1">
        <f t="shared" ref="H38:H60" si="7">$G38-$I12</f>
        <v>3.89111996368421E-2</v>
      </c>
      <c r="I38" s="1">
        <f t="shared" ref="I38:I60" si="8">$G38+$I12</f>
        <v>0.19889141121535392</v>
      </c>
      <c r="J38" s="1">
        <f t="shared" ref="J38:J60" si="9">$G38-$J12</f>
        <v>3.52875312064619E-2</v>
      </c>
      <c r="K38" s="1">
        <f t="shared" ref="K38:K60" si="10">$G38+$J12</f>
        <v>0.20251507964573412</v>
      </c>
      <c r="L38" s="1">
        <f t="shared" ref="L38:L60" si="11">$L12</f>
        <v>0.118258901497047</v>
      </c>
      <c r="M38" s="1">
        <f t="shared" ref="M38:M60" si="12">$L38-$M12</f>
        <v>4.1702930823382195E-2</v>
      </c>
      <c r="N38" s="1">
        <f t="shared" ref="N38:N60" si="13">$L38+$M12</f>
        <v>0.19481487217071181</v>
      </c>
      <c r="O38" s="1">
        <f t="shared" ref="O38:O60" si="14">$L38-$N12</f>
        <v>4.3112686382502402E-2</v>
      </c>
      <c r="P38" s="1">
        <f t="shared" ref="P38:P60" si="15">$L38+$N12</f>
        <v>0.1934051166115916</v>
      </c>
    </row>
    <row r="39" spans="1:17" x14ac:dyDescent="0.25">
      <c r="A39" s="1">
        <f t="shared" si="2"/>
        <v>0.124178055474673</v>
      </c>
      <c r="B39" s="1">
        <f t="shared" si="3"/>
        <v>0.18359089930223499</v>
      </c>
      <c r="C39" s="1">
        <f t="shared" si="0"/>
        <v>-6.5930197995283019E-2</v>
      </c>
      <c r="D39" s="1">
        <f t="shared" si="1"/>
        <v>0.43311199659975297</v>
      </c>
      <c r="E39" s="1">
        <f t="shared" si="4"/>
        <v>4.8026957808172982E-2</v>
      </c>
      <c r="F39" s="1">
        <f t="shared" si="5"/>
        <v>0.31915484079629697</v>
      </c>
      <c r="G39" s="1">
        <f t="shared" si="6"/>
        <v>0.17172422868611001</v>
      </c>
      <c r="H39" s="1">
        <f t="shared" si="7"/>
        <v>3.6729582505381997E-2</v>
      </c>
      <c r="I39" s="1">
        <f t="shared" si="8"/>
        <v>0.30671887486683802</v>
      </c>
      <c r="J39" s="1">
        <f t="shared" si="9"/>
        <v>6.7523431008150003E-2</v>
      </c>
      <c r="K39" s="1">
        <f t="shared" si="10"/>
        <v>0.27592502636407001</v>
      </c>
      <c r="L39" s="1">
        <f t="shared" si="11"/>
        <v>0.165239599151634</v>
      </c>
      <c r="M39" s="1">
        <f t="shared" si="12"/>
        <v>4.1677268319972996E-2</v>
      </c>
      <c r="N39" s="1">
        <f t="shared" si="13"/>
        <v>0.28880192998329501</v>
      </c>
      <c r="O39" s="1">
        <f t="shared" si="14"/>
        <v>7.1844023887522493E-2</v>
      </c>
      <c r="P39" s="1">
        <f t="shared" si="15"/>
        <v>0.25863517441574552</v>
      </c>
    </row>
    <row r="40" spans="1:17" x14ac:dyDescent="0.25">
      <c r="A40" s="1">
        <f t="shared" si="2"/>
        <v>0.16557074063289801</v>
      </c>
      <c r="B40" s="1">
        <f t="shared" si="3"/>
        <v>0.22103788388878201</v>
      </c>
      <c r="C40" s="1">
        <f t="shared" si="0"/>
        <v>-0.178185945296059</v>
      </c>
      <c r="D40" s="1">
        <f t="shared" si="1"/>
        <v>0.62026171307362299</v>
      </c>
      <c r="E40" s="1">
        <f t="shared" si="4"/>
        <v>7.2708948419363012E-2</v>
      </c>
      <c r="F40" s="1">
        <f t="shared" si="5"/>
        <v>0.36936681935820104</v>
      </c>
      <c r="G40" s="1">
        <f t="shared" si="6"/>
        <v>0.20334654913227601</v>
      </c>
      <c r="H40" s="1">
        <f t="shared" si="7"/>
        <v>3.3243572037217006E-2</v>
      </c>
      <c r="I40" s="1">
        <f t="shared" si="8"/>
        <v>0.37344952622733502</v>
      </c>
      <c r="J40" s="1">
        <f t="shared" si="9"/>
        <v>9.4267577547581013E-2</v>
      </c>
      <c r="K40" s="1">
        <f t="shared" si="10"/>
        <v>0.31242552071697099</v>
      </c>
      <c r="L40" s="1">
        <f t="shared" si="11"/>
        <v>0.193634981170177</v>
      </c>
      <c r="M40" s="1">
        <f t="shared" si="12"/>
        <v>3.9954727157758996E-2</v>
      </c>
      <c r="N40" s="1">
        <f t="shared" si="13"/>
        <v>0.34731523518259499</v>
      </c>
      <c r="O40" s="1">
        <f t="shared" si="14"/>
        <v>9.5787857275186697E-2</v>
      </c>
      <c r="P40" s="1">
        <f t="shared" si="15"/>
        <v>0.29148210506516731</v>
      </c>
    </row>
    <row r="41" spans="1:17" x14ac:dyDescent="0.25">
      <c r="A41" s="1">
        <f t="shared" si="2"/>
        <v>0.20696342579112301</v>
      </c>
      <c r="B41" s="1">
        <f t="shared" si="3"/>
        <v>0.25103107726228002</v>
      </c>
      <c r="C41" s="1">
        <f t="shared" si="0"/>
        <v>-0.17159184741412298</v>
      </c>
      <c r="D41" s="1">
        <f t="shared" si="1"/>
        <v>0.67365400193868297</v>
      </c>
      <c r="E41" s="1">
        <f t="shared" si="4"/>
        <v>0.10083438431403202</v>
      </c>
      <c r="F41" s="1">
        <f t="shared" si="5"/>
        <v>0.40122777021052802</v>
      </c>
      <c r="G41" s="1">
        <f t="shared" si="6"/>
        <v>0.22948687098298201</v>
      </c>
      <c r="H41" s="1">
        <f t="shared" si="7"/>
        <v>2.9250674540193006E-2</v>
      </c>
      <c r="I41" s="1">
        <f t="shared" si="8"/>
        <v>0.42972306742577104</v>
      </c>
      <c r="J41" s="1">
        <f t="shared" si="9"/>
        <v>0.12009319346937701</v>
      </c>
      <c r="K41" s="1">
        <f t="shared" si="10"/>
        <v>0.338880548496587</v>
      </c>
      <c r="L41" s="1">
        <f t="shared" si="11"/>
        <v>0.21702184828457399</v>
      </c>
      <c r="M41" s="1">
        <f t="shared" si="12"/>
        <v>3.7648583216496001E-2</v>
      </c>
      <c r="N41" s="1">
        <f t="shared" si="13"/>
        <v>0.39639511335265198</v>
      </c>
      <c r="O41" s="1">
        <f t="shared" si="14"/>
        <v>0.11870578955208529</v>
      </c>
      <c r="P41" s="1">
        <f t="shared" si="15"/>
        <v>0.31533790701706271</v>
      </c>
    </row>
    <row r="42" spans="1:17" x14ac:dyDescent="0.25">
      <c r="A42" s="1">
        <f t="shared" si="2"/>
        <v>0.24835611094934601</v>
      </c>
      <c r="B42" s="1">
        <f t="shared" si="3"/>
        <v>0.26958602663964898</v>
      </c>
      <c r="C42" s="1">
        <f t="shared" si="0"/>
        <v>-0.27463900045084105</v>
      </c>
      <c r="D42" s="1">
        <f t="shared" si="1"/>
        <v>0.81381105373013907</v>
      </c>
      <c r="E42" s="1">
        <f t="shared" si="4"/>
        <v>0.11643104226689097</v>
      </c>
      <c r="F42" s="1">
        <f t="shared" si="5"/>
        <v>0.42274101101240702</v>
      </c>
      <c r="G42" s="1">
        <f t="shared" si="6"/>
        <v>0.244536619711169</v>
      </c>
      <c r="H42" s="1">
        <f t="shared" si="7"/>
        <v>2.6775360405551007E-2</v>
      </c>
      <c r="I42" s="1">
        <f t="shared" si="8"/>
        <v>0.46229787901678698</v>
      </c>
      <c r="J42" s="1">
        <f t="shared" si="9"/>
        <v>0.137279720614781</v>
      </c>
      <c r="K42" s="1">
        <f t="shared" si="10"/>
        <v>0.35179351880755699</v>
      </c>
      <c r="L42" s="1">
        <f t="shared" si="11"/>
        <v>0.23006054410941401</v>
      </c>
      <c r="M42" s="1">
        <f t="shared" si="12"/>
        <v>3.6083094876069005E-2</v>
      </c>
      <c r="N42" s="1">
        <f t="shared" si="13"/>
        <v>0.42403799334275905</v>
      </c>
      <c r="O42" s="1">
        <f t="shared" si="14"/>
        <v>0.13293190373226332</v>
      </c>
      <c r="P42" s="1">
        <f t="shared" si="15"/>
        <v>0.3271891844865647</v>
      </c>
    </row>
    <row r="43" spans="1:17" x14ac:dyDescent="0.25">
      <c r="A43" s="1">
        <f t="shared" si="2"/>
        <v>0.28974879610757398</v>
      </c>
      <c r="B43" s="1">
        <f t="shared" si="3"/>
        <v>0.281620432195897</v>
      </c>
      <c r="C43" s="1">
        <f t="shared" si="0"/>
        <v>-0.32431595351422698</v>
      </c>
      <c r="D43" s="1">
        <f t="shared" si="1"/>
        <v>0.88755681790602092</v>
      </c>
      <c r="E43" s="1">
        <f t="shared" si="4"/>
        <v>0.129585337286242</v>
      </c>
      <c r="F43" s="1">
        <f t="shared" si="5"/>
        <v>0.433655527105552</v>
      </c>
      <c r="G43" s="1">
        <f t="shared" si="6"/>
        <v>0.25503055834569999</v>
      </c>
      <c r="H43" s="1">
        <f t="shared" si="7"/>
        <v>2.4983392199635995E-2</v>
      </c>
      <c r="I43" s="1">
        <f t="shared" si="8"/>
        <v>0.48507772449176401</v>
      </c>
      <c r="J43" s="1">
        <f t="shared" si="9"/>
        <v>0.15035643518867997</v>
      </c>
      <c r="K43" s="1">
        <f t="shared" si="10"/>
        <v>0.35970468150272</v>
      </c>
      <c r="L43" s="1">
        <f t="shared" si="11"/>
        <v>0.23953946901064799</v>
      </c>
      <c r="M43" s="1">
        <f t="shared" si="12"/>
        <v>3.5020581619403995E-2</v>
      </c>
      <c r="N43" s="1">
        <f t="shared" si="13"/>
        <v>0.44405835640189195</v>
      </c>
      <c r="O43" s="1">
        <f t="shared" si="14"/>
        <v>0.14467086706938947</v>
      </c>
      <c r="P43" s="1">
        <f t="shared" si="15"/>
        <v>0.3344080709519065</v>
      </c>
    </row>
    <row r="44" spans="1:17" x14ac:dyDescent="0.25">
      <c r="A44" s="1">
        <f t="shared" si="2"/>
        <v>0.33114148126579601</v>
      </c>
      <c r="B44" s="1">
        <f t="shared" si="3"/>
        <v>0.29752923528784597</v>
      </c>
      <c r="C44" s="1">
        <f t="shared" si="0"/>
        <v>-0.47912561181529706</v>
      </c>
      <c r="D44" s="1">
        <f t="shared" si="1"/>
        <v>1.0741840823909889</v>
      </c>
      <c r="E44" s="1">
        <f t="shared" si="4"/>
        <v>0.13901437493045699</v>
      </c>
      <c r="F44" s="1">
        <f t="shared" si="5"/>
        <v>0.45604409564523496</v>
      </c>
      <c r="G44" s="1">
        <f t="shared" si="6"/>
        <v>0.264627217400285</v>
      </c>
      <c r="H44" s="1">
        <f t="shared" si="7"/>
        <v>2.2756478741255998E-2</v>
      </c>
      <c r="I44" s="1">
        <f t="shared" si="8"/>
        <v>0.50649795605931403</v>
      </c>
      <c r="J44" s="1">
        <f t="shared" si="9"/>
        <v>0.16131768125762</v>
      </c>
      <c r="K44" s="1">
        <f t="shared" si="10"/>
        <v>0.36793675354294997</v>
      </c>
      <c r="L44" s="1">
        <f t="shared" si="11"/>
        <v>0.24835611094935001</v>
      </c>
      <c r="M44" s="1">
        <f t="shared" si="12"/>
        <v>3.3594007770213014E-2</v>
      </c>
      <c r="N44" s="1">
        <f t="shared" si="13"/>
        <v>0.46311821412848697</v>
      </c>
      <c r="O44" s="1">
        <f t="shared" si="14"/>
        <v>0.15479482358362112</v>
      </c>
      <c r="P44" s="1">
        <f t="shared" si="15"/>
        <v>0.34191739831507889</v>
      </c>
    </row>
    <row r="45" spans="1:17" x14ac:dyDescent="0.25">
      <c r="A45" s="1">
        <f t="shared" si="2"/>
        <v>0.37253416642402998</v>
      </c>
      <c r="B45" s="1">
        <f t="shared" si="3"/>
        <v>0.29684189177169601</v>
      </c>
      <c r="C45" s="1">
        <f t="shared" si="0"/>
        <v>-0.30136449261632398</v>
      </c>
      <c r="D45" s="1">
        <f t="shared" si="1"/>
        <v>0.89504827615971605</v>
      </c>
      <c r="E45" s="1">
        <f t="shared" si="4"/>
        <v>0.14911016018671802</v>
      </c>
      <c r="F45" s="1">
        <f t="shared" si="5"/>
        <v>0.444573623356674</v>
      </c>
      <c r="G45" s="1">
        <f t="shared" si="6"/>
        <v>0.26897902336302798</v>
      </c>
      <c r="H45" s="1">
        <f t="shared" si="7"/>
        <v>2.2165840645708978E-2</v>
      </c>
      <c r="I45" s="1">
        <f t="shared" si="8"/>
        <v>0.51579220608034704</v>
      </c>
      <c r="J45" s="1">
        <f t="shared" si="9"/>
        <v>0.16804422477141298</v>
      </c>
      <c r="K45" s="1">
        <f t="shared" si="10"/>
        <v>0.36991382195464295</v>
      </c>
      <c r="L45" s="1">
        <f t="shared" si="11"/>
        <v>0.25208145261359</v>
      </c>
      <c r="M45" s="1">
        <f t="shared" si="12"/>
        <v>3.3247110375054983E-2</v>
      </c>
      <c r="N45" s="1">
        <f t="shared" si="13"/>
        <v>0.47091579485212498</v>
      </c>
      <c r="O45" s="1">
        <f t="shared" si="14"/>
        <v>0.16035381645805141</v>
      </c>
      <c r="P45" s="1">
        <f t="shared" si="15"/>
        <v>0.34380908876912858</v>
      </c>
    </row>
    <row r="46" spans="1:17" x14ac:dyDescent="0.25">
      <c r="A46" s="1">
        <f t="shared" si="2"/>
        <v>0.41392685158224601</v>
      </c>
      <c r="B46" s="1">
        <f t="shared" si="3"/>
        <v>0.32241226801432199</v>
      </c>
      <c r="C46" s="1">
        <f t="shared" si="0"/>
        <v>-0.41934453973064401</v>
      </c>
      <c r="D46" s="1">
        <f t="shared" si="1"/>
        <v>1.0641690757592879</v>
      </c>
      <c r="E46" s="1">
        <f t="shared" si="4"/>
        <v>0.17160171786832898</v>
      </c>
      <c r="F46" s="1">
        <f t="shared" si="5"/>
        <v>0.47322281816031497</v>
      </c>
      <c r="G46" s="1">
        <f t="shared" si="6"/>
        <v>0.285949458286405</v>
      </c>
      <c r="H46" s="1">
        <f t="shared" si="7"/>
        <v>1.7975332852354975E-2</v>
      </c>
      <c r="I46" s="1">
        <f t="shared" si="8"/>
        <v>0.55392358372045503</v>
      </c>
      <c r="J46" s="1">
        <f t="shared" si="9"/>
        <v>0.18975925603612431</v>
      </c>
      <c r="K46" s="1">
        <f t="shared" si="10"/>
        <v>0.38213966053668569</v>
      </c>
      <c r="L46" s="1">
        <f t="shared" si="11"/>
        <v>0.267438138807291</v>
      </c>
      <c r="M46" s="1">
        <f t="shared" si="12"/>
        <v>3.0498734310691E-2</v>
      </c>
      <c r="N46" s="1">
        <f t="shared" si="13"/>
        <v>0.50437754330389106</v>
      </c>
      <c r="O46" s="1">
        <f t="shared" si="14"/>
        <v>0.17977781327477782</v>
      </c>
      <c r="P46" s="1">
        <f t="shared" si="15"/>
        <v>0.35509846433980419</v>
      </c>
    </row>
    <row r="47" spans="1:17" x14ac:dyDescent="0.25">
      <c r="A47" s="1">
        <f t="shared" si="2"/>
        <v>0.45531953674048498</v>
      </c>
      <c r="B47" s="1">
        <f t="shared" si="3"/>
        <v>0.31702195120195797</v>
      </c>
      <c r="C47" s="1">
        <f t="shared" si="0"/>
        <v>-0.29705515753274303</v>
      </c>
      <c r="D47" s="1">
        <f t="shared" si="1"/>
        <v>0.93109905993665898</v>
      </c>
      <c r="E47" s="1">
        <f t="shared" si="4"/>
        <v>0.17460903154870797</v>
      </c>
      <c r="F47" s="1">
        <f t="shared" si="5"/>
        <v>0.45943487085520796</v>
      </c>
      <c r="G47" s="1">
        <f t="shared" si="6"/>
        <v>0.28673161520326401</v>
      </c>
      <c r="H47" s="1">
        <f t="shared" si="7"/>
        <v>1.7995141180119023E-2</v>
      </c>
      <c r="I47" s="1">
        <f t="shared" si="8"/>
        <v>0.555468089226409</v>
      </c>
      <c r="J47" s="1">
        <f t="shared" si="9"/>
        <v>0.19160387191578343</v>
      </c>
      <c r="K47" s="1">
        <f t="shared" si="10"/>
        <v>0.38185935849074459</v>
      </c>
      <c r="L47" s="1">
        <f t="shared" si="11"/>
        <v>0.26818320714013899</v>
      </c>
      <c r="M47" s="1">
        <f t="shared" si="12"/>
        <v>3.0550443003741989E-2</v>
      </c>
      <c r="N47" s="1">
        <f t="shared" si="13"/>
        <v>0.50581597127653599</v>
      </c>
      <c r="O47" s="1">
        <f t="shared" si="14"/>
        <v>0.181555338729643</v>
      </c>
      <c r="P47" s="1">
        <f t="shared" si="15"/>
        <v>0.35481107555063496</v>
      </c>
    </row>
    <row r="48" spans="1:17" x14ac:dyDescent="0.25">
      <c r="A48" s="1">
        <f t="shared" si="2"/>
        <v>0.49671222189869302</v>
      </c>
      <c r="B48" s="1">
        <f t="shared" si="3"/>
        <v>0.33934149821417597</v>
      </c>
      <c r="C48" s="1">
        <f t="shared" si="0"/>
        <v>-0.47941632747752699</v>
      </c>
      <c r="D48" s="1">
        <f t="shared" si="1"/>
        <v>1.158099323905879</v>
      </c>
      <c r="E48" s="1">
        <f t="shared" si="4"/>
        <v>0.19571205238358796</v>
      </c>
      <c r="F48" s="1">
        <f t="shared" si="5"/>
        <v>0.48297094404476398</v>
      </c>
      <c r="G48" s="1">
        <f t="shared" si="6"/>
        <v>0.30145631170626302</v>
      </c>
      <c r="H48" s="1">
        <f t="shared" si="7"/>
        <v>1.4625032905170032E-2</v>
      </c>
      <c r="I48" s="1">
        <f t="shared" si="8"/>
        <v>0.58828759050735602</v>
      </c>
      <c r="J48" s="1">
        <f t="shared" si="9"/>
        <v>0.21445634107272063</v>
      </c>
      <c r="K48" s="1">
        <f t="shared" si="10"/>
        <v>0.38845628233980545</v>
      </c>
      <c r="L48" s="1">
        <f t="shared" si="11"/>
        <v>0.28142886639077103</v>
      </c>
      <c r="M48" s="1">
        <f t="shared" si="12"/>
        <v>2.8351113356407054E-2</v>
      </c>
      <c r="N48" s="1">
        <f t="shared" si="13"/>
        <v>0.534506619425135</v>
      </c>
      <c r="O48" s="1">
        <f t="shared" si="14"/>
        <v>0.20171911426188383</v>
      </c>
      <c r="P48" s="1">
        <f t="shared" si="15"/>
        <v>0.36113861851965823</v>
      </c>
    </row>
    <row r="49" spans="1:16" x14ac:dyDescent="0.25">
      <c r="A49" s="1">
        <f t="shared" si="2"/>
        <v>0.53810490705693204</v>
      </c>
      <c r="B49" s="1">
        <f t="shared" si="3"/>
        <v>0.34727725640954499</v>
      </c>
      <c r="C49" s="1">
        <f t="shared" si="0"/>
        <v>-0.60288159158380705</v>
      </c>
      <c r="D49" s="1">
        <f t="shared" si="1"/>
        <v>1.297436104402897</v>
      </c>
      <c r="E49" s="1">
        <f t="shared" si="4"/>
        <v>0.19827023637208599</v>
      </c>
      <c r="F49" s="1">
        <f t="shared" si="5"/>
        <v>0.49628427644700401</v>
      </c>
      <c r="G49" s="1">
        <f t="shared" si="6"/>
        <v>0.30397461996130298</v>
      </c>
      <c r="H49" s="1">
        <f t="shared" si="7"/>
        <v>1.3589403627643992E-2</v>
      </c>
      <c r="I49" s="1">
        <f t="shared" si="8"/>
        <v>0.59435983629496203</v>
      </c>
      <c r="J49" s="1">
        <f t="shared" si="9"/>
        <v>0.2167929237803034</v>
      </c>
      <c r="K49" s="1">
        <f t="shared" si="10"/>
        <v>0.39115631614230256</v>
      </c>
      <c r="L49" s="1">
        <f t="shared" si="11"/>
        <v>0.28395382018542198</v>
      </c>
      <c r="M49" s="1">
        <f t="shared" si="12"/>
        <v>2.7637111346037968E-2</v>
      </c>
      <c r="N49" s="1">
        <f t="shared" si="13"/>
        <v>0.54027052902480599</v>
      </c>
      <c r="O49" s="1">
        <f t="shared" si="14"/>
        <v>0.20448324854007738</v>
      </c>
      <c r="P49" s="1">
        <f t="shared" si="15"/>
        <v>0.36342439183076658</v>
      </c>
    </row>
    <row r="50" spans="1:16" x14ac:dyDescent="0.25">
      <c r="A50" s="1">
        <f t="shared" si="2"/>
        <v>0.57949759221514796</v>
      </c>
      <c r="B50" s="1">
        <f t="shared" si="3"/>
        <v>0.34755572065908302</v>
      </c>
      <c r="C50" s="1">
        <f t="shared" si="0"/>
        <v>-0.64781554636763294</v>
      </c>
      <c r="D50" s="1">
        <f t="shared" si="1"/>
        <v>1.342926987685799</v>
      </c>
      <c r="E50" s="1">
        <f t="shared" si="4"/>
        <v>0.19587629004316504</v>
      </c>
      <c r="F50" s="1">
        <f t="shared" si="5"/>
        <v>0.49923515127500101</v>
      </c>
      <c r="G50" s="1">
        <f t="shared" si="6"/>
        <v>0.30238660440283099</v>
      </c>
      <c r="H50" s="1">
        <f t="shared" si="7"/>
        <v>1.4236233746080018E-2</v>
      </c>
      <c r="I50" s="1">
        <f t="shared" si="8"/>
        <v>0.59053697505958191</v>
      </c>
      <c r="J50" s="1">
        <f t="shared" si="9"/>
        <v>0.2152918317070153</v>
      </c>
      <c r="K50" s="1">
        <f t="shared" si="10"/>
        <v>0.38948137709864672</v>
      </c>
      <c r="L50" s="1">
        <f t="shared" si="11"/>
        <v>0.28233950546425202</v>
      </c>
      <c r="M50" s="1">
        <f t="shared" si="12"/>
        <v>2.8079563895712034E-2</v>
      </c>
      <c r="N50" s="1">
        <f t="shared" si="13"/>
        <v>0.53659944703279194</v>
      </c>
      <c r="O50" s="1">
        <f t="shared" si="14"/>
        <v>0.20264739876262211</v>
      </c>
      <c r="P50" s="1">
        <f t="shared" si="15"/>
        <v>0.36203161216588192</v>
      </c>
    </row>
    <row r="51" spans="1:16" x14ac:dyDescent="0.25">
      <c r="A51" s="1">
        <f t="shared" si="2"/>
        <v>0.62089027737336999</v>
      </c>
      <c r="B51" s="1">
        <f t="shared" si="3"/>
        <v>0.341933590260803</v>
      </c>
      <c r="C51" s="1">
        <f t="shared" si="0"/>
        <v>-0.48333745215908502</v>
      </c>
      <c r="D51" s="1">
        <f t="shared" si="1"/>
        <v>1.1672046326806911</v>
      </c>
      <c r="E51" s="1">
        <f t="shared" si="4"/>
        <v>0.19977607342481199</v>
      </c>
      <c r="F51" s="1">
        <f t="shared" si="5"/>
        <v>0.48409110709679404</v>
      </c>
      <c r="G51" s="1">
        <f t="shared" si="6"/>
        <v>0.30367834840188701</v>
      </c>
      <c r="H51" s="1">
        <f t="shared" si="7"/>
        <v>1.4191184875830987E-2</v>
      </c>
      <c r="I51" s="1">
        <f t="shared" si="8"/>
        <v>0.59316551192794309</v>
      </c>
      <c r="J51" s="1">
        <f t="shared" si="9"/>
        <v>0.21850986572022812</v>
      </c>
      <c r="K51" s="1">
        <f t="shared" si="10"/>
        <v>0.3888468310835459</v>
      </c>
      <c r="L51" s="1">
        <f t="shared" si="11"/>
        <v>0.28341571527836501</v>
      </c>
      <c r="M51" s="1">
        <f t="shared" si="12"/>
        <v>2.8082906663194018E-2</v>
      </c>
      <c r="N51" s="1">
        <f t="shared" si="13"/>
        <v>0.538748523893536</v>
      </c>
      <c r="O51" s="1">
        <f t="shared" si="14"/>
        <v>0.20528156273894121</v>
      </c>
      <c r="P51" s="1">
        <f t="shared" si="15"/>
        <v>0.36154986781778881</v>
      </c>
    </row>
    <row r="52" spans="1:16" x14ac:dyDescent="0.25">
      <c r="A52" s="1">
        <f t="shared" si="2"/>
        <v>0.66228296253159202</v>
      </c>
      <c r="B52" s="1">
        <f t="shared" si="3"/>
        <v>0.356121864315396</v>
      </c>
      <c r="C52" s="1">
        <f t="shared" si="0"/>
        <v>-0.5913018437239459</v>
      </c>
      <c r="D52" s="1">
        <f t="shared" si="1"/>
        <v>1.303545572354738</v>
      </c>
      <c r="E52" s="1">
        <f t="shared" si="4"/>
        <v>0.212484726828952</v>
      </c>
      <c r="F52" s="1">
        <f t="shared" si="5"/>
        <v>0.49975900180183996</v>
      </c>
      <c r="G52" s="1">
        <f t="shared" si="6"/>
        <v>0.31126290032294901</v>
      </c>
      <c r="H52" s="1">
        <f t="shared" si="7"/>
        <v>1.2017703151201986E-2</v>
      </c>
      <c r="I52" s="1">
        <f t="shared" si="8"/>
        <v>0.61050809749469603</v>
      </c>
      <c r="J52" s="1">
        <f t="shared" si="9"/>
        <v>0.23002027139912723</v>
      </c>
      <c r="K52" s="1">
        <f t="shared" si="10"/>
        <v>0.39250552924677079</v>
      </c>
      <c r="L52" s="1">
        <f t="shared" si="11"/>
        <v>0.29049386444042102</v>
      </c>
      <c r="M52" s="1">
        <f t="shared" si="12"/>
        <v>2.6630985641236005E-2</v>
      </c>
      <c r="N52" s="1">
        <f t="shared" si="13"/>
        <v>0.55435674323960604</v>
      </c>
      <c r="O52" s="1">
        <f t="shared" si="14"/>
        <v>0.21616084285186504</v>
      </c>
      <c r="P52" s="1">
        <f t="shared" si="15"/>
        <v>0.364826886028977</v>
      </c>
    </row>
    <row r="53" spans="1:16" x14ac:dyDescent="0.25">
      <c r="A53" s="1">
        <f t="shared" si="2"/>
        <v>0.70367564768981405</v>
      </c>
      <c r="B53" s="1">
        <f t="shared" si="3"/>
        <v>0.35347951579348702</v>
      </c>
      <c r="C53" s="1">
        <f t="shared" si="0"/>
        <v>-0.57655905244507399</v>
      </c>
      <c r="D53" s="1">
        <f t="shared" si="1"/>
        <v>1.2835180840320479</v>
      </c>
      <c r="E53" s="1">
        <f t="shared" si="4"/>
        <v>0.20938910738371802</v>
      </c>
      <c r="F53" s="1">
        <f t="shared" si="5"/>
        <v>0.49756992420325602</v>
      </c>
      <c r="G53" s="1">
        <f t="shared" si="6"/>
        <v>0.30964525760853501</v>
      </c>
      <c r="H53" s="1">
        <f t="shared" si="7"/>
        <v>1.2539157736416007E-2</v>
      </c>
      <c r="I53" s="1">
        <f t="shared" si="8"/>
        <v>0.60675135748065401</v>
      </c>
      <c r="J53" s="1">
        <f t="shared" si="9"/>
        <v>0.22775074648258051</v>
      </c>
      <c r="K53" s="1">
        <f t="shared" si="10"/>
        <v>0.39153976873448948</v>
      </c>
      <c r="L53" s="1">
        <f t="shared" si="11"/>
        <v>0.28896233508956698</v>
      </c>
      <c r="M53" s="1">
        <f t="shared" si="12"/>
        <v>2.6988601331051965E-2</v>
      </c>
      <c r="N53" s="1">
        <f t="shared" si="13"/>
        <v>0.55093606884808199</v>
      </c>
      <c r="O53" s="1">
        <f t="shared" si="14"/>
        <v>0.21395217751937856</v>
      </c>
      <c r="P53" s="1">
        <f t="shared" si="15"/>
        <v>0.3639724926597554</v>
      </c>
    </row>
    <row r="54" spans="1:16" x14ac:dyDescent="0.25">
      <c r="A54" s="1">
        <f t="shared" si="2"/>
        <v>0.74506833284806095</v>
      </c>
      <c r="B54" s="1">
        <f t="shared" si="3"/>
        <v>0.36520928597756802</v>
      </c>
      <c r="C54" s="1">
        <f t="shared" si="0"/>
        <v>-0.64510418548949211</v>
      </c>
      <c r="D54" s="1">
        <f t="shared" si="1"/>
        <v>1.375522757444628</v>
      </c>
      <c r="E54" s="1">
        <f t="shared" si="4"/>
        <v>0.22259415400154603</v>
      </c>
      <c r="F54" s="1">
        <f t="shared" si="5"/>
        <v>0.50782441795359001</v>
      </c>
      <c r="G54" s="1">
        <f t="shared" si="6"/>
        <v>0.31724758582316298</v>
      </c>
      <c r="H54" s="1">
        <f t="shared" si="7"/>
        <v>1.0477493524175985E-2</v>
      </c>
      <c r="I54" s="1">
        <f t="shared" si="8"/>
        <v>0.62401767812215003</v>
      </c>
      <c r="J54" s="1">
        <f t="shared" si="9"/>
        <v>0.24059720660320477</v>
      </c>
      <c r="K54" s="1">
        <f t="shared" si="10"/>
        <v>0.39389796504312119</v>
      </c>
      <c r="L54" s="1">
        <f t="shared" si="11"/>
        <v>0.295916306196148</v>
      </c>
      <c r="M54" s="1">
        <f t="shared" si="12"/>
        <v>2.5607448652886999E-2</v>
      </c>
      <c r="N54" s="1">
        <f t="shared" si="13"/>
        <v>0.56622516373940901</v>
      </c>
      <c r="O54" s="1">
        <f t="shared" si="14"/>
        <v>0.22560129707931301</v>
      </c>
      <c r="P54" s="1">
        <f t="shared" si="15"/>
        <v>0.36623131531298303</v>
      </c>
    </row>
    <row r="55" spans="1:16" x14ac:dyDescent="0.25">
      <c r="A55" s="1">
        <f t="shared" si="2"/>
        <v>0.78646101800628598</v>
      </c>
      <c r="B55" s="1">
        <f t="shared" si="3"/>
        <v>0.36064758935820201</v>
      </c>
      <c r="C55" s="1">
        <f t="shared" si="0"/>
        <v>-0.52902971370422791</v>
      </c>
      <c r="D55" s="1">
        <f t="shared" si="1"/>
        <v>1.2503248924206321</v>
      </c>
      <c r="E55" s="1">
        <f t="shared" si="4"/>
        <v>0.22520029743362302</v>
      </c>
      <c r="F55" s="1">
        <f t="shared" si="5"/>
        <v>0.49609488128278101</v>
      </c>
      <c r="G55" s="1">
        <f t="shared" si="6"/>
        <v>0.31807714618952798</v>
      </c>
      <c r="H55" s="1">
        <f t="shared" si="7"/>
        <v>1.0456500978554994E-2</v>
      </c>
      <c r="I55" s="1">
        <f t="shared" si="8"/>
        <v>0.62569779140050097</v>
      </c>
      <c r="J55" s="1">
        <f t="shared" si="9"/>
        <v>0.24303957434350637</v>
      </c>
      <c r="K55" s="1">
        <f t="shared" si="10"/>
        <v>0.39311471803554959</v>
      </c>
      <c r="L55" s="1">
        <f t="shared" si="11"/>
        <v>0.29657858915868002</v>
      </c>
      <c r="M55" s="1">
        <f t="shared" si="12"/>
        <v>2.5613615795790023E-2</v>
      </c>
      <c r="N55" s="1">
        <f t="shared" si="13"/>
        <v>0.56754356252157001</v>
      </c>
      <c r="O55" s="1">
        <f t="shared" si="14"/>
        <v>0.2275066170529601</v>
      </c>
      <c r="P55" s="1">
        <f t="shared" si="15"/>
        <v>0.36565056126439993</v>
      </c>
    </row>
    <row r="56" spans="1:16" x14ac:dyDescent="0.25">
      <c r="A56" s="1">
        <f t="shared" si="2"/>
        <v>0.82785370316449203</v>
      </c>
      <c r="B56" s="1">
        <f t="shared" si="3"/>
        <v>0.35281410064004298</v>
      </c>
      <c r="C56" s="1">
        <f t="shared" si="0"/>
        <v>-0.37529678634042202</v>
      </c>
      <c r="D56" s="1">
        <f t="shared" si="1"/>
        <v>1.080924987620508</v>
      </c>
      <c r="E56" s="1">
        <f t="shared" si="4"/>
        <v>0.22148670432686599</v>
      </c>
      <c r="F56" s="1">
        <f t="shared" si="5"/>
        <v>0.48414149695321995</v>
      </c>
      <c r="G56" s="1">
        <f t="shared" si="6"/>
        <v>0.315061101714669</v>
      </c>
      <c r="H56" s="1">
        <f t="shared" si="7"/>
        <v>1.1135559376462989E-2</v>
      </c>
      <c r="I56" s="1">
        <f t="shared" si="8"/>
        <v>0.61898664405287507</v>
      </c>
      <c r="J56" s="1">
        <f t="shared" si="9"/>
        <v>0.2371186402981949</v>
      </c>
      <c r="K56" s="1">
        <f t="shared" si="10"/>
        <v>0.3930035631311431</v>
      </c>
      <c r="L56" s="1">
        <f t="shared" si="11"/>
        <v>0.29384667193823699</v>
      </c>
      <c r="M56" s="1">
        <f t="shared" si="12"/>
        <v>2.6056061579931011E-2</v>
      </c>
      <c r="N56" s="1">
        <f t="shared" si="13"/>
        <v>0.56163728229654297</v>
      </c>
      <c r="O56" s="1">
        <f t="shared" si="14"/>
        <v>0.22224580674086208</v>
      </c>
      <c r="P56" s="1">
        <f t="shared" si="15"/>
        <v>0.3654475371356119</v>
      </c>
    </row>
    <row r="57" spans="1:16" x14ac:dyDescent="0.25">
      <c r="A57" s="1">
        <f t="shared" si="2"/>
        <v>0.86924638832272205</v>
      </c>
      <c r="B57" s="1">
        <f t="shared" si="3"/>
        <v>0.35433325712904701</v>
      </c>
      <c r="C57" s="1">
        <f t="shared" si="0"/>
        <v>-0.41418624742509497</v>
      </c>
      <c r="D57" s="1">
        <f t="shared" si="1"/>
        <v>1.1228527616831889</v>
      </c>
      <c r="E57" s="1">
        <f t="shared" si="4"/>
        <v>0.226280615494245</v>
      </c>
      <c r="F57" s="1">
        <f t="shared" si="5"/>
        <v>0.48238589876384902</v>
      </c>
      <c r="G57" s="1">
        <f t="shared" si="6"/>
        <v>0.31902521517966098</v>
      </c>
      <c r="H57" s="1">
        <f t="shared" si="7"/>
        <v>1.0246834539252958E-2</v>
      </c>
      <c r="I57" s="1">
        <f t="shared" si="8"/>
        <v>0.62780359582006895</v>
      </c>
      <c r="J57" s="1">
        <f t="shared" si="9"/>
        <v>0.24499039412244838</v>
      </c>
      <c r="K57" s="1">
        <f t="shared" si="10"/>
        <v>0.39306003623687358</v>
      </c>
      <c r="L57" s="1">
        <f t="shared" si="11"/>
        <v>0.29736505017668602</v>
      </c>
      <c r="M57" s="1">
        <f t="shared" si="12"/>
        <v>2.5469321624883023E-2</v>
      </c>
      <c r="N57" s="1">
        <f t="shared" si="13"/>
        <v>0.56926077872848901</v>
      </c>
      <c r="O57" s="1">
        <f t="shared" si="14"/>
        <v>0.22898722992936912</v>
      </c>
      <c r="P57" s="1">
        <f t="shared" si="15"/>
        <v>0.36574287042400289</v>
      </c>
    </row>
    <row r="58" spans="1:16" x14ac:dyDescent="0.25">
      <c r="A58" s="1">
        <f t="shared" si="2"/>
        <v>0.91063907348097095</v>
      </c>
      <c r="B58" s="1">
        <f t="shared" si="3"/>
        <v>0.363345132575219</v>
      </c>
      <c r="C58" s="1">
        <f t="shared" si="0"/>
        <v>-0.53437677594077893</v>
      </c>
      <c r="D58" s="1">
        <f t="shared" si="1"/>
        <v>1.261067041091217</v>
      </c>
      <c r="E58" s="1">
        <f t="shared" si="4"/>
        <v>0.23219549259118699</v>
      </c>
      <c r="F58" s="1">
        <f t="shared" si="5"/>
        <v>0.49449477255925101</v>
      </c>
      <c r="G58" s="1">
        <f t="shared" si="6"/>
        <v>0.32359964805705199</v>
      </c>
      <c r="H58" s="1">
        <f t="shared" si="7"/>
        <v>8.8243490364949828E-3</v>
      </c>
      <c r="I58" s="1">
        <f t="shared" si="8"/>
        <v>0.638374947077609</v>
      </c>
      <c r="J58" s="1">
        <f t="shared" si="9"/>
        <v>0.25261382994732717</v>
      </c>
      <c r="K58" s="1">
        <f t="shared" si="10"/>
        <v>0.39458546616677681</v>
      </c>
      <c r="L58" s="1">
        <f t="shared" si="11"/>
        <v>0.30166988943314199</v>
      </c>
      <c r="M58" s="1">
        <f t="shared" si="12"/>
        <v>2.4508066323003008E-2</v>
      </c>
      <c r="N58" s="1">
        <f t="shared" si="13"/>
        <v>0.57883171254328092</v>
      </c>
      <c r="O58" s="1">
        <f t="shared" si="14"/>
        <v>0.23630679545834737</v>
      </c>
      <c r="P58" s="1">
        <f t="shared" si="15"/>
        <v>0.36703298340793661</v>
      </c>
    </row>
    <row r="59" spans="1:16" x14ac:dyDescent="0.25">
      <c r="A59" s="1">
        <f t="shared" si="2"/>
        <v>0.95203175863915301</v>
      </c>
      <c r="B59" s="1">
        <f t="shared" si="3"/>
        <v>0.37216564182205197</v>
      </c>
      <c r="C59" s="1">
        <f t="shared" si="0"/>
        <v>-0.83068681444890791</v>
      </c>
      <c r="D59" s="1">
        <f t="shared" si="1"/>
        <v>1.575018098093012</v>
      </c>
      <c r="E59" s="1">
        <f t="shared" si="4"/>
        <v>0.22895643378591396</v>
      </c>
      <c r="F59" s="1">
        <f t="shared" si="5"/>
        <v>0.51537484985819004</v>
      </c>
      <c r="G59" s="1">
        <f t="shared" si="6"/>
        <v>0.3226101010486</v>
      </c>
      <c r="H59" s="1">
        <f t="shared" si="7"/>
        <v>9.1624868428449857E-3</v>
      </c>
      <c r="I59" s="1">
        <f t="shared" si="8"/>
        <v>0.63605771525435495</v>
      </c>
      <c r="J59" s="1">
        <f t="shared" si="9"/>
        <v>0.25105876201329358</v>
      </c>
      <c r="K59" s="1">
        <f t="shared" si="10"/>
        <v>0.39416144008390641</v>
      </c>
      <c r="L59" s="1">
        <f t="shared" si="11"/>
        <v>0.30080064304481902</v>
      </c>
      <c r="M59" s="1">
        <f t="shared" si="12"/>
        <v>2.4748800365779033E-2</v>
      </c>
      <c r="N59" s="1">
        <f t="shared" si="13"/>
        <v>0.57685248572385905</v>
      </c>
      <c r="O59" s="1">
        <f t="shared" si="14"/>
        <v>0.23503659885597591</v>
      </c>
      <c r="P59" s="1">
        <f t="shared" si="15"/>
        <v>0.36656468723366209</v>
      </c>
    </row>
    <row r="60" spans="1:16" x14ac:dyDescent="0.25">
      <c r="A60" s="1">
        <f t="shared" si="2"/>
        <v>0.99342444379738704</v>
      </c>
      <c r="B60" s="1">
        <f t="shared" si="3"/>
        <v>0.37880897521797402</v>
      </c>
      <c r="C60" s="1">
        <f t="shared" si="0"/>
        <v>-0.92210077909115595</v>
      </c>
      <c r="D60" s="1">
        <f t="shared" si="1"/>
        <v>1.6797187295271039</v>
      </c>
      <c r="E60" s="1">
        <f t="shared" si="4"/>
        <v>0.23269574348478703</v>
      </c>
      <c r="F60" s="1">
        <f t="shared" si="5"/>
        <v>0.52492220695116099</v>
      </c>
      <c r="G60" s="1">
        <f t="shared" si="6"/>
        <v>0.32388406875409098</v>
      </c>
      <c r="H60" s="1">
        <f t="shared" si="7"/>
        <v>8.9103575901050003E-3</v>
      </c>
      <c r="I60" s="1">
        <f t="shared" si="8"/>
        <v>0.63885777991807702</v>
      </c>
      <c r="J60" s="1">
        <f t="shared" si="9"/>
        <v>0.25398066090866017</v>
      </c>
      <c r="K60" s="1">
        <f t="shared" si="10"/>
        <v>0.39378747659952179</v>
      </c>
      <c r="L60" s="1">
        <f t="shared" si="11"/>
        <v>0.30187685285893301</v>
      </c>
      <c r="M60" s="1">
        <f t="shared" si="12"/>
        <v>2.4582682295276992E-2</v>
      </c>
      <c r="N60" s="1">
        <f t="shared" si="13"/>
        <v>0.57917102342258908</v>
      </c>
      <c r="O60" s="1">
        <f t="shared" si="14"/>
        <v>0.2373576112290437</v>
      </c>
      <c r="P60" s="1">
        <f t="shared" si="15"/>
        <v>0.36639609448882232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zoomScaleNormal="100" workbookViewId="0">
      <selection activeCell="A10" sqref="A10:N34"/>
    </sheetView>
  </sheetViews>
  <sheetFormatPr defaultColWidth="10.7109375" defaultRowHeight="15" x14ac:dyDescent="0.25"/>
  <cols>
    <col min="1" max="1" width="10.7109375" style="1"/>
    <col min="2" max="2" width="10.7109375" style="1" customWidth="1"/>
    <col min="3" max="16384" width="10.7109375" style="1"/>
  </cols>
  <sheetData>
    <row r="1" spans="1:17" x14ac:dyDescent="0.25">
      <c r="A1" s="1" t="s">
        <v>0</v>
      </c>
      <c r="B1" s="9">
        <v>32</v>
      </c>
      <c r="C1" s="9"/>
    </row>
    <row r="2" spans="1:17" x14ac:dyDescent="0.25">
      <c r="A2" s="1" t="s">
        <v>1</v>
      </c>
      <c r="B2" s="9">
        <v>100</v>
      </c>
      <c r="C2" s="9"/>
    </row>
    <row r="3" spans="1:17" x14ac:dyDescent="0.25">
      <c r="A3" s="1" t="s">
        <v>2</v>
      </c>
      <c r="B3" s="9">
        <v>1</v>
      </c>
      <c r="C3" s="9"/>
    </row>
    <row r="4" spans="1:17" x14ac:dyDescent="0.25">
      <c r="A4" s="1" t="s">
        <v>3</v>
      </c>
      <c r="B4" s="9">
        <v>10</v>
      </c>
      <c r="C4" s="9"/>
    </row>
    <row r="5" spans="1:17" x14ac:dyDescent="0.25">
      <c r="A5" s="1" t="s">
        <v>4</v>
      </c>
      <c r="B5" s="10">
        <v>1.1000000000000001</v>
      </c>
      <c r="C5" s="10"/>
    </row>
    <row r="6" spans="1:17" x14ac:dyDescent="0.25">
      <c r="A6" s="1" t="s">
        <v>5</v>
      </c>
      <c r="B6" s="10">
        <v>5.5100000000000003E-2</v>
      </c>
      <c r="C6" s="10"/>
    </row>
    <row r="7" spans="1:17" x14ac:dyDescent="0.25">
      <c r="A7" s="1" t="s">
        <v>6</v>
      </c>
      <c r="B7" s="8">
        <v>161803398874989</v>
      </c>
      <c r="C7" s="8"/>
    </row>
    <row r="10" spans="1:17" x14ac:dyDescent="0.25">
      <c r="A10" t="s">
        <v>7</v>
      </c>
      <c r="B10" t="s">
        <v>40</v>
      </c>
      <c r="C10" t="s">
        <v>9</v>
      </c>
      <c r="D10" t="s">
        <v>41</v>
      </c>
      <c r="E10" t="s">
        <v>11</v>
      </c>
      <c r="F10" t="s">
        <v>12</v>
      </c>
      <c r="G10" t="s">
        <v>13</v>
      </c>
      <c r="H10" t="s">
        <v>42</v>
      </c>
      <c r="I10" t="s">
        <v>15</v>
      </c>
      <c r="J10" t="s">
        <v>16</v>
      </c>
      <c r="K10" t="s">
        <v>17</v>
      </c>
      <c r="L10" t="s">
        <v>43</v>
      </c>
      <c r="M10" t="s">
        <v>19</v>
      </c>
      <c r="N10" t="s">
        <v>20</v>
      </c>
      <c r="O10" s="2" t="s">
        <v>38</v>
      </c>
      <c r="P10" s="2" t="s">
        <v>39</v>
      </c>
      <c r="Q10" s="1" t="s">
        <v>36</v>
      </c>
    </row>
    <row r="11" spans="1:17" x14ac:dyDescent="0.25">
      <c r="A11">
        <v>1.1000000000000001</v>
      </c>
      <c r="B11">
        <v>4.1392685158224501E-2</v>
      </c>
      <c r="C11">
        <v>1.13045000422071</v>
      </c>
      <c r="D11">
        <v>5.2616495008796803E-2</v>
      </c>
      <c r="E11" s="14">
        <v>5.6408213344773203E-5</v>
      </c>
      <c r="F11">
        <v>2.2708045877177702E-2</v>
      </c>
      <c r="G11">
        <v>1.13012123948048</v>
      </c>
      <c r="H11">
        <v>5.2547080285425603E-2</v>
      </c>
      <c r="I11">
        <v>1.48063820519181E-2</v>
      </c>
      <c r="J11">
        <v>2.1840051002756398E-2</v>
      </c>
      <c r="K11">
        <v>1.142587842</v>
      </c>
      <c r="L11">
        <v>5.7080512833191599E-2</v>
      </c>
      <c r="M11">
        <v>1.6921584671430699E-2</v>
      </c>
      <c r="N11">
        <v>2.59076796813658E-2</v>
      </c>
      <c r="O11" s="2">
        <v>1000</v>
      </c>
      <c r="P11" s="2">
        <v>0</v>
      </c>
      <c r="Q11" s="1">
        <v>0</v>
      </c>
    </row>
    <row r="12" spans="1:17" x14ac:dyDescent="0.25">
      <c r="A12">
        <v>1.21000000000001</v>
      </c>
      <c r="B12">
        <v>8.2785370316449003E-2</v>
      </c>
      <c r="C12">
        <v>1.30495898336219</v>
      </c>
      <c r="D12">
        <v>0.109512940772737</v>
      </c>
      <c r="E12">
        <v>2.6723330979073399E-2</v>
      </c>
      <c r="F12">
        <v>6.5382482419120494E-2</v>
      </c>
      <c r="G12">
        <v>1.30222648834703</v>
      </c>
      <c r="H12">
        <v>0.109097414219279</v>
      </c>
      <c r="I12">
        <v>4.63023728125928E-2</v>
      </c>
      <c r="J12">
        <v>6.2993136183843501E-2</v>
      </c>
      <c r="K12">
        <v>1.32590324431698</v>
      </c>
      <c r="L12">
        <v>0.116934335571984</v>
      </c>
      <c r="M12">
        <v>5.0673784465711302E-2</v>
      </c>
      <c r="N12">
        <v>6.4028580698414897E-2</v>
      </c>
      <c r="O12" s="2">
        <v>1000</v>
      </c>
      <c r="P12" s="2">
        <v>0</v>
      </c>
      <c r="Q12" s="1">
        <v>0</v>
      </c>
    </row>
    <row r="13" spans="1:17" x14ac:dyDescent="0.25">
      <c r="A13">
        <v>1.33099999999998</v>
      </c>
      <c r="B13">
        <v>0.124178055474673</v>
      </c>
      <c r="C13">
        <v>1.60998385397994</v>
      </c>
      <c r="D13">
        <v>0.17427036888216399</v>
      </c>
      <c r="E13">
        <v>2.9075416019702498</v>
      </c>
      <c r="F13">
        <v>0.13603596552823</v>
      </c>
      <c r="G13">
        <v>1.5306489125067</v>
      </c>
      <c r="H13">
        <v>0.16672029224169799</v>
      </c>
      <c r="I13">
        <v>9.0068150232509706E-2</v>
      </c>
      <c r="J13">
        <v>0.109981319564848</v>
      </c>
      <c r="K13">
        <v>1.5531855644338699</v>
      </c>
      <c r="L13">
        <v>0.17504966553413301</v>
      </c>
      <c r="M13">
        <v>9.38230138045347E-2</v>
      </c>
      <c r="N13">
        <v>0.105993696265065</v>
      </c>
      <c r="O13" s="2">
        <v>1000</v>
      </c>
      <c r="P13" s="2">
        <v>0</v>
      </c>
      <c r="Q13" s="1">
        <v>0</v>
      </c>
    </row>
    <row r="14" spans="1:17" x14ac:dyDescent="0.25">
      <c r="A14">
        <v>1.46409999999998</v>
      </c>
      <c r="B14">
        <v>0.16557074063289801</v>
      </c>
      <c r="C14">
        <v>2.1175585351427402</v>
      </c>
      <c r="D14">
        <v>0.24948675149836799</v>
      </c>
      <c r="E14">
        <v>16.9595472108692</v>
      </c>
      <c r="F14">
        <v>0.20824382057712701</v>
      </c>
      <c r="G14">
        <v>1.8528018173004099</v>
      </c>
      <c r="H14">
        <v>0.229196898370881</v>
      </c>
      <c r="I14">
        <v>0.14789754672403599</v>
      </c>
      <c r="J14">
        <v>0.16064853831610501</v>
      </c>
      <c r="K14">
        <v>1.85482682723351</v>
      </c>
      <c r="L14">
        <v>0.23585552003156601</v>
      </c>
      <c r="M14">
        <v>0.146335671887182</v>
      </c>
      <c r="N14">
        <v>0.14966687096794401</v>
      </c>
      <c r="O14" s="2">
        <v>1000</v>
      </c>
      <c r="P14" s="2">
        <v>0</v>
      </c>
      <c r="Q14" s="1">
        <v>0</v>
      </c>
    </row>
    <row r="15" spans="1:17" x14ac:dyDescent="0.25">
      <c r="A15">
        <v>1.6105099999999799</v>
      </c>
      <c r="B15">
        <v>0.20696342579112301</v>
      </c>
      <c r="C15">
        <v>2.5569945971401098</v>
      </c>
      <c r="D15">
        <v>0.31506807179090202</v>
      </c>
      <c r="E15">
        <v>27.933584760830801</v>
      </c>
      <c r="F15">
        <v>0.23856862257975001</v>
      </c>
      <c r="G15">
        <v>2.1568679466862002</v>
      </c>
      <c r="H15">
        <v>0.28600140226445597</v>
      </c>
      <c r="I15">
        <v>0.20270803452425801</v>
      </c>
      <c r="J15">
        <v>0.18396039768004299</v>
      </c>
      <c r="K15">
        <v>2.1357392765991801</v>
      </c>
      <c r="L15">
        <v>0.289955759533366</v>
      </c>
      <c r="M15">
        <v>0.19525300828710199</v>
      </c>
      <c r="N15">
        <v>0.169385223736507</v>
      </c>
      <c r="O15" s="2">
        <v>1000</v>
      </c>
      <c r="P15" s="2">
        <v>0</v>
      </c>
      <c r="Q15" s="1">
        <v>0</v>
      </c>
    </row>
    <row r="16" spans="1:17" x14ac:dyDescent="0.25">
      <c r="A16">
        <v>1.7715610000000099</v>
      </c>
      <c r="B16">
        <v>0.24835611094934601</v>
      </c>
      <c r="C16">
        <v>3.0976146335733099</v>
      </c>
      <c r="D16">
        <v>0.37786504014108102</v>
      </c>
      <c r="E16">
        <v>47.661021604072701</v>
      </c>
      <c r="F16">
        <v>0.27331801954712698</v>
      </c>
      <c r="G16">
        <v>2.4884847738746099</v>
      </c>
      <c r="H16">
        <v>0.33811393604368001</v>
      </c>
      <c r="I16">
        <v>0.25908728489473598</v>
      </c>
      <c r="J16">
        <v>0.208683211008615</v>
      </c>
      <c r="K16">
        <v>2.43111042478268</v>
      </c>
      <c r="L16">
        <v>0.338012667002066</v>
      </c>
      <c r="M16">
        <v>0.24270564077633699</v>
      </c>
      <c r="N16">
        <v>0.191186614844782</v>
      </c>
      <c r="O16" s="2">
        <v>1000</v>
      </c>
      <c r="P16" s="2">
        <v>0</v>
      </c>
      <c r="Q16" s="1">
        <v>0</v>
      </c>
    </row>
    <row r="17" spans="1:17" x14ac:dyDescent="0.25">
      <c r="A17">
        <v>1.9487171000000201</v>
      </c>
      <c r="B17">
        <v>0.28974879610757398</v>
      </c>
      <c r="C17">
        <v>3.18555917102079</v>
      </c>
      <c r="D17">
        <v>0.396024660608082</v>
      </c>
      <c r="E17">
        <v>45.855117087776797</v>
      </c>
      <c r="F17">
        <v>0.269001447964961</v>
      </c>
      <c r="G17">
        <v>2.61814119627403</v>
      </c>
      <c r="H17">
        <v>0.35991938101154097</v>
      </c>
      <c r="I17">
        <v>0.281647288318082</v>
      </c>
      <c r="J17">
        <v>0.211231380730484</v>
      </c>
      <c r="K17">
        <v>2.54633242665451</v>
      </c>
      <c r="L17">
        <v>0.35792254856317202</v>
      </c>
      <c r="M17">
        <v>0.26173719331657602</v>
      </c>
      <c r="N17">
        <v>0.193211988057858</v>
      </c>
      <c r="O17" s="2">
        <v>1000</v>
      </c>
      <c r="P17" s="2">
        <v>0</v>
      </c>
      <c r="Q17" s="1">
        <v>0</v>
      </c>
    </row>
    <row r="18" spans="1:17" x14ac:dyDescent="0.25">
      <c r="A18">
        <v>2.1435888099999798</v>
      </c>
      <c r="B18">
        <v>0.33114148126579601</v>
      </c>
      <c r="C18">
        <v>3.7251364282077102</v>
      </c>
      <c r="D18">
        <v>0.45715481168102701</v>
      </c>
      <c r="E18">
        <v>63.538509930791697</v>
      </c>
      <c r="F18">
        <v>0.28709003847324499</v>
      </c>
      <c r="G18">
        <v>2.9501015640993802</v>
      </c>
      <c r="H18">
        <v>0.40912365515231902</v>
      </c>
      <c r="I18">
        <v>0.33714796105126499</v>
      </c>
      <c r="J18">
        <v>0.22272077905276499</v>
      </c>
      <c r="K18">
        <v>2.84068573402697</v>
      </c>
      <c r="L18">
        <v>0.40320614612627098</v>
      </c>
      <c r="M18">
        <v>0.30795888832792701</v>
      </c>
      <c r="N18">
        <v>0.20318713782509601</v>
      </c>
      <c r="O18" s="2">
        <v>1000</v>
      </c>
      <c r="P18" s="2">
        <v>0</v>
      </c>
      <c r="Q18" s="1">
        <v>0</v>
      </c>
    </row>
    <row r="19" spans="1:17" x14ac:dyDescent="0.25">
      <c r="A19">
        <v>2.3579476909999699</v>
      </c>
      <c r="B19">
        <v>0.37253416642402998</v>
      </c>
      <c r="C19">
        <v>4.0986530720627696</v>
      </c>
      <c r="D19">
        <v>0.488635192294538</v>
      </c>
      <c r="E19">
        <v>83.101041615881101</v>
      </c>
      <c r="F19">
        <v>0.303068027838517</v>
      </c>
      <c r="G19">
        <v>3.15107102079762</v>
      </c>
      <c r="H19">
        <v>0.436097737262925</v>
      </c>
      <c r="I19">
        <v>0.36918538541227203</v>
      </c>
      <c r="J19">
        <v>0.22963868827408801</v>
      </c>
      <c r="K19">
        <v>3.0166261527355802</v>
      </c>
      <c r="L19">
        <v>0.42800036453604701</v>
      </c>
      <c r="M19">
        <v>0.33388401243603</v>
      </c>
      <c r="N19">
        <v>0.20889928965158</v>
      </c>
      <c r="O19" s="2">
        <v>1000</v>
      </c>
      <c r="P19" s="2">
        <v>0</v>
      </c>
      <c r="Q19" s="1">
        <v>0</v>
      </c>
    </row>
    <row r="20" spans="1:17" x14ac:dyDescent="0.25">
      <c r="A20">
        <v>2.5937424601000201</v>
      </c>
      <c r="B20">
        <v>0.41392685158224601</v>
      </c>
      <c r="C20">
        <v>4.2280032848128402</v>
      </c>
      <c r="D20">
        <v>0.50928648183510905</v>
      </c>
      <c r="E20">
        <v>83.384915137575206</v>
      </c>
      <c r="F20">
        <v>0.296650119513998</v>
      </c>
      <c r="G20">
        <v>3.2701095632278898</v>
      </c>
      <c r="H20">
        <v>0.45500456258287802</v>
      </c>
      <c r="I20">
        <v>0.38968253495642902</v>
      </c>
      <c r="J20">
        <v>0.22616875081598201</v>
      </c>
      <c r="K20">
        <v>3.1219749452324099</v>
      </c>
      <c r="L20">
        <v>0.44513693619155298</v>
      </c>
      <c r="M20">
        <v>0.35102698994645798</v>
      </c>
      <c r="N20">
        <v>0.20583534880411</v>
      </c>
      <c r="O20" s="2">
        <v>1000</v>
      </c>
      <c r="P20" s="2">
        <v>0</v>
      </c>
      <c r="Q20" s="1">
        <v>0</v>
      </c>
    </row>
    <row r="21" spans="1:17" x14ac:dyDescent="0.25">
      <c r="A21">
        <v>2.85311670611005</v>
      </c>
      <c r="B21">
        <v>0.45531953674048498</v>
      </c>
      <c r="C21">
        <v>4.6432682610632501</v>
      </c>
      <c r="D21">
        <v>0.54377738155377997</v>
      </c>
      <c r="E21">
        <v>108.479888999495</v>
      </c>
      <c r="F21">
        <v>0.30653984725988798</v>
      </c>
      <c r="G21">
        <v>3.43420301828092</v>
      </c>
      <c r="H21">
        <v>0.47854277582222499</v>
      </c>
      <c r="I21">
        <v>0.41669224703873903</v>
      </c>
      <c r="J21">
        <v>0.22439516072019999</v>
      </c>
      <c r="K21">
        <v>3.2670437371601202</v>
      </c>
      <c r="L21">
        <v>0.46682670321446201</v>
      </c>
      <c r="M21">
        <v>0.37335408224807498</v>
      </c>
      <c r="N21">
        <v>0.20378890978261299</v>
      </c>
      <c r="O21" s="2">
        <v>1000</v>
      </c>
      <c r="P21" s="2">
        <v>0</v>
      </c>
      <c r="Q21" s="1">
        <v>0</v>
      </c>
    </row>
    <row r="22" spans="1:17" x14ac:dyDescent="0.25">
      <c r="A22">
        <v>3.1384283767210501</v>
      </c>
      <c r="B22">
        <v>0.49671222189869302</v>
      </c>
      <c r="C22">
        <v>4.88712032733934</v>
      </c>
      <c r="D22">
        <v>0.57396860505094005</v>
      </c>
      <c r="E22">
        <v>112.772180985845</v>
      </c>
      <c r="F22">
        <v>0.30155665090114098</v>
      </c>
      <c r="G22">
        <v>3.63178029655792</v>
      </c>
      <c r="H22">
        <v>0.50492556067388905</v>
      </c>
      <c r="I22">
        <v>0.44835785666348199</v>
      </c>
      <c r="J22">
        <v>0.22379405682077799</v>
      </c>
      <c r="K22">
        <v>3.4390125453547502</v>
      </c>
      <c r="L22">
        <v>0.49071028255075699</v>
      </c>
      <c r="M22">
        <v>0.39878392023419401</v>
      </c>
      <c r="N22">
        <v>0.20324645136828601</v>
      </c>
      <c r="O22" s="2">
        <v>1000</v>
      </c>
      <c r="P22" s="2">
        <v>0</v>
      </c>
      <c r="Q22" s="1">
        <v>0</v>
      </c>
    </row>
    <row r="23" spans="1:17" x14ac:dyDescent="0.25">
      <c r="A23">
        <v>3.4522712143930399</v>
      </c>
      <c r="B23">
        <v>0.53810490705693204</v>
      </c>
      <c r="C23">
        <v>4.9074774930416902</v>
      </c>
      <c r="D23">
        <v>0.57355964956744698</v>
      </c>
      <c r="E23">
        <v>117.942075026561</v>
      </c>
      <c r="F23">
        <v>0.30270736417317601</v>
      </c>
      <c r="G23">
        <v>3.6428129412325001</v>
      </c>
      <c r="H23">
        <v>0.50752162881821605</v>
      </c>
      <c r="I23">
        <v>0.45065379548661999</v>
      </c>
      <c r="J23">
        <v>0.220933709076756</v>
      </c>
      <c r="K23">
        <v>3.4494206086467498</v>
      </c>
      <c r="L23">
        <v>0.49311105828993401</v>
      </c>
      <c r="M23">
        <v>0.40091464148399503</v>
      </c>
      <c r="N23">
        <v>0.200611175996004</v>
      </c>
      <c r="O23" s="2">
        <v>1000</v>
      </c>
      <c r="P23" s="2">
        <v>0</v>
      </c>
      <c r="Q23" s="1">
        <v>0</v>
      </c>
    </row>
    <row r="24" spans="1:17" x14ac:dyDescent="0.25">
      <c r="A24">
        <v>3.79749833583231</v>
      </c>
      <c r="B24">
        <v>0.57949759221514796</v>
      </c>
      <c r="C24">
        <v>4.9157053190286604</v>
      </c>
      <c r="D24">
        <v>0.58655972190098504</v>
      </c>
      <c r="E24">
        <v>107.491412735962</v>
      </c>
      <c r="F24">
        <v>0.28688855255409001</v>
      </c>
      <c r="G24">
        <v>3.8319759593710598</v>
      </c>
      <c r="H24">
        <v>0.532659252676013</v>
      </c>
      <c r="I24">
        <v>0.48091587640535299</v>
      </c>
      <c r="J24">
        <v>0.217388859448751</v>
      </c>
      <c r="K24">
        <v>3.61483644496239</v>
      </c>
      <c r="L24">
        <v>0.516083998552748</v>
      </c>
      <c r="M24">
        <v>0.42536886086152498</v>
      </c>
      <c r="N24">
        <v>0.19708154851349</v>
      </c>
      <c r="O24" s="2">
        <v>1000</v>
      </c>
      <c r="P24" s="2">
        <v>0</v>
      </c>
      <c r="Q24" s="1">
        <v>0</v>
      </c>
    </row>
    <row r="25" spans="1:17" x14ac:dyDescent="0.25">
      <c r="A25">
        <v>4.1772481694156403</v>
      </c>
      <c r="B25">
        <v>0.62089027737336999</v>
      </c>
      <c r="C25">
        <v>5.1107665397247901</v>
      </c>
      <c r="D25">
        <v>0.60317249625845104</v>
      </c>
      <c r="E25">
        <v>117.18015678731599</v>
      </c>
      <c r="F25">
        <v>0.29064945023097599</v>
      </c>
      <c r="G25">
        <v>3.9155410026533901</v>
      </c>
      <c r="H25">
        <v>0.54279325934938605</v>
      </c>
      <c r="I25">
        <v>0.49384297382513298</v>
      </c>
      <c r="J25">
        <v>0.217490629321448</v>
      </c>
      <c r="K25">
        <v>3.6868070814132099</v>
      </c>
      <c r="L25">
        <v>0.52519038928755701</v>
      </c>
      <c r="M25">
        <v>0.43548594210776198</v>
      </c>
      <c r="N25">
        <v>0.19728020969457699</v>
      </c>
      <c r="O25" s="2">
        <v>1000</v>
      </c>
      <c r="P25" s="2">
        <v>0</v>
      </c>
      <c r="Q25" s="1">
        <v>0</v>
      </c>
    </row>
    <row r="26" spans="1:17" x14ac:dyDescent="0.25">
      <c r="A26">
        <v>4.5949729863572504</v>
      </c>
      <c r="B26">
        <v>0.66228296253159202</v>
      </c>
      <c r="C26">
        <v>5.3101706317091599</v>
      </c>
      <c r="D26">
        <v>0.61381277435194403</v>
      </c>
      <c r="E26">
        <v>132.26744657675599</v>
      </c>
      <c r="F26">
        <v>0.299428423573046</v>
      </c>
      <c r="G26">
        <v>3.9354100260388201</v>
      </c>
      <c r="H26">
        <v>0.54563078121793096</v>
      </c>
      <c r="I26">
        <v>0.49708213112704602</v>
      </c>
      <c r="J26">
        <v>0.21623958416502501</v>
      </c>
      <c r="K26">
        <v>3.7049106668381699</v>
      </c>
      <c r="L26">
        <v>0.527963699193157</v>
      </c>
      <c r="M26">
        <v>0.438273034146552</v>
      </c>
      <c r="N26">
        <v>0.195789362558346</v>
      </c>
      <c r="O26" s="2">
        <v>1000</v>
      </c>
      <c r="P26" s="2">
        <v>0</v>
      </c>
      <c r="Q26" s="1">
        <v>0</v>
      </c>
    </row>
    <row r="27" spans="1:17" x14ac:dyDescent="0.25">
      <c r="A27">
        <v>5.0544702849929299</v>
      </c>
      <c r="B27">
        <v>0.70367564768981405</v>
      </c>
      <c r="C27">
        <v>5.1879718644864097</v>
      </c>
      <c r="D27">
        <v>0.618447876738761</v>
      </c>
      <c r="E27">
        <v>111.65990006752</v>
      </c>
      <c r="F27">
        <v>0.27947316914294901</v>
      </c>
      <c r="G27">
        <v>4.0207702505015597</v>
      </c>
      <c r="H27">
        <v>0.55780216384163805</v>
      </c>
      <c r="I27">
        <v>0.51111847439699698</v>
      </c>
      <c r="J27">
        <v>0.210614418562243</v>
      </c>
      <c r="K27">
        <v>3.77893293551403</v>
      </c>
      <c r="L27">
        <v>0.53880858270461196</v>
      </c>
      <c r="M27">
        <v>0.44956606573172903</v>
      </c>
      <c r="N27">
        <v>0.190963415728375</v>
      </c>
      <c r="O27" s="2">
        <v>1000</v>
      </c>
      <c r="P27" s="2">
        <v>0</v>
      </c>
      <c r="Q27" s="1">
        <v>0</v>
      </c>
    </row>
    <row r="28" spans="1:17" x14ac:dyDescent="0.25">
      <c r="A28">
        <v>5.5599173134923303</v>
      </c>
      <c r="B28">
        <v>0.74506833284806095</v>
      </c>
      <c r="C28">
        <v>5.2431011651878503</v>
      </c>
      <c r="D28">
        <v>0.62620991993086605</v>
      </c>
      <c r="E28">
        <v>110.98840110273299</v>
      </c>
      <c r="F28">
        <v>0.27491061621428098</v>
      </c>
      <c r="G28">
        <v>4.11626093715482</v>
      </c>
      <c r="H28">
        <v>0.56976205415216397</v>
      </c>
      <c r="I28">
        <v>0.52599963263879601</v>
      </c>
      <c r="J28">
        <v>0.208078182941727</v>
      </c>
      <c r="K28">
        <v>3.8617523027468299</v>
      </c>
      <c r="L28">
        <v>0.54969485890122405</v>
      </c>
      <c r="M28">
        <v>0.461366423854983</v>
      </c>
      <c r="N28">
        <v>0.18849966292138401</v>
      </c>
      <c r="O28" s="2">
        <v>1000</v>
      </c>
      <c r="P28" s="2">
        <v>0</v>
      </c>
      <c r="Q28" s="1">
        <v>0</v>
      </c>
    </row>
    <row r="29" spans="1:17" x14ac:dyDescent="0.25">
      <c r="A29">
        <v>6.1159090448415396</v>
      </c>
      <c r="B29">
        <v>0.78646101800628598</v>
      </c>
      <c r="C29">
        <v>5.6260183251628302</v>
      </c>
      <c r="D29">
        <v>0.65678595536488305</v>
      </c>
      <c r="E29">
        <v>132.40786109106801</v>
      </c>
      <c r="F29">
        <v>0.27842954756835497</v>
      </c>
      <c r="G29">
        <v>4.2733135429873101</v>
      </c>
      <c r="H29">
        <v>0.58925459568390703</v>
      </c>
      <c r="I29">
        <v>0.55047007754048805</v>
      </c>
      <c r="J29">
        <v>0.20300639914315299</v>
      </c>
      <c r="K29">
        <v>3.9980760119635002</v>
      </c>
      <c r="L29">
        <v>0.56745232083410102</v>
      </c>
      <c r="M29">
        <v>0.48078631546911299</v>
      </c>
      <c r="N29">
        <v>0.18365484744688601</v>
      </c>
      <c r="O29" s="2">
        <v>1000</v>
      </c>
      <c r="P29" s="2">
        <v>0</v>
      </c>
      <c r="Q29" s="1">
        <v>0</v>
      </c>
    </row>
    <row r="30" spans="1:17" x14ac:dyDescent="0.25">
      <c r="A30">
        <v>6.7274999493256402</v>
      </c>
      <c r="B30">
        <v>0.82785370316449203</v>
      </c>
      <c r="C30">
        <v>5.6262886912829</v>
      </c>
      <c r="D30">
        <v>0.64352838909289101</v>
      </c>
      <c r="E30">
        <v>149.90778603789801</v>
      </c>
      <c r="F30">
        <v>0.29376296401049401</v>
      </c>
      <c r="G30">
        <v>4.2207540721076198</v>
      </c>
      <c r="H30">
        <v>0.58317242924393897</v>
      </c>
      <c r="I30">
        <v>0.54255016258724098</v>
      </c>
      <c r="J30">
        <v>0.203714482547937</v>
      </c>
      <c r="K30">
        <v>3.9532495122476199</v>
      </c>
      <c r="L30">
        <v>0.56202987907837498</v>
      </c>
      <c r="M30">
        <v>0.47472466595166202</v>
      </c>
      <c r="N30">
        <v>0.18420312161667801</v>
      </c>
      <c r="O30" s="2">
        <v>1000</v>
      </c>
      <c r="P30" s="2">
        <v>0</v>
      </c>
      <c r="Q30" s="1">
        <v>0</v>
      </c>
    </row>
    <row r="31" spans="1:17" x14ac:dyDescent="0.25">
      <c r="A31">
        <v>7.4002499442583201</v>
      </c>
      <c r="B31">
        <v>0.86924638832272205</v>
      </c>
      <c r="C31">
        <v>5.9682958633277003</v>
      </c>
      <c r="D31">
        <v>0.67108928347347097</v>
      </c>
      <c r="E31">
        <v>165.52083217185699</v>
      </c>
      <c r="F31">
        <v>0.29380322164094103</v>
      </c>
      <c r="G31">
        <v>4.31391962161943</v>
      </c>
      <c r="H31">
        <v>0.59601529996200497</v>
      </c>
      <c r="I31">
        <v>0.55766055632341904</v>
      </c>
      <c r="J31">
        <v>0.19602202101162999</v>
      </c>
      <c r="K31">
        <v>4.0347325323964496</v>
      </c>
      <c r="L31">
        <v>0.57370261629299402</v>
      </c>
      <c r="M31">
        <v>0.48698393795329997</v>
      </c>
      <c r="N31">
        <v>0.177113823126756</v>
      </c>
      <c r="O31" s="2">
        <v>1000</v>
      </c>
      <c r="P31" s="2">
        <v>0</v>
      </c>
      <c r="Q31" s="1">
        <v>0</v>
      </c>
    </row>
    <row r="32" spans="1:17" x14ac:dyDescent="0.25">
      <c r="A32">
        <v>8.1402749386841204</v>
      </c>
      <c r="B32">
        <v>0.91063907348097095</v>
      </c>
      <c r="C32">
        <v>6.3801665158782397</v>
      </c>
      <c r="D32">
        <v>0.69955378303384097</v>
      </c>
      <c r="E32">
        <v>192.26138766682999</v>
      </c>
      <c r="F32">
        <v>0.29950183830407701</v>
      </c>
      <c r="G32">
        <v>4.3852676920634002</v>
      </c>
      <c r="H32">
        <v>0.60458955082565102</v>
      </c>
      <c r="I32">
        <v>0.56859556522568999</v>
      </c>
      <c r="J32">
        <v>0.19345576919391699</v>
      </c>
      <c r="K32">
        <v>4.0959762405372997</v>
      </c>
      <c r="L32">
        <v>0.58140165573242197</v>
      </c>
      <c r="M32">
        <v>0.49547912029902302</v>
      </c>
      <c r="N32">
        <v>0.17483068627171</v>
      </c>
      <c r="O32" s="2">
        <v>1000</v>
      </c>
      <c r="P32" s="2">
        <v>0</v>
      </c>
      <c r="Q32" s="1">
        <v>0</v>
      </c>
    </row>
    <row r="33" spans="1:17" x14ac:dyDescent="0.25">
      <c r="A33">
        <v>8.9543024325522893</v>
      </c>
      <c r="B33">
        <v>0.95203175863915301</v>
      </c>
      <c r="C33">
        <v>6.0959313557208201</v>
      </c>
      <c r="D33">
        <v>0.69834496541042301</v>
      </c>
      <c r="E33">
        <v>148.75573573984599</v>
      </c>
      <c r="F33">
        <v>0.27182687379616599</v>
      </c>
      <c r="G33">
        <v>4.3792699279438496</v>
      </c>
      <c r="H33">
        <v>0.60450319146443399</v>
      </c>
      <c r="I33">
        <v>0.56803899908488098</v>
      </c>
      <c r="J33">
        <v>0.19172210914882901</v>
      </c>
      <c r="K33">
        <v>4.0920510984533296</v>
      </c>
      <c r="L33">
        <v>0.58152583378789702</v>
      </c>
      <c r="M33">
        <v>0.49538915951849</v>
      </c>
      <c r="N33">
        <v>0.17291072277279901</v>
      </c>
      <c r="O33" s="2">
        <v>1000</v>
      </c>
      <c r="P33" s="2">
        <v>0</v>
      </c>
      <c r="Q33" s="1">
        <v>0</v>
      </c>
    </row>
    <row r="34" spans="1:17" x14ac:dyDescent="0.25">
      <c r="A34">
        <v>9.8497326758077506</v>
      </c>
      <c r="B34">
        <v>0.99342444379738704</v>
      </c>
      <c r="C34">
        <v>6.0952038733699796</v>
      </c>
      <c r="D34">
        <v>0.69963355801150795</v>
      </c>
      <c r="E34">
        <v>150.82094294130101</v>
      </c>
      <c r="F34">
        <v>0.26789872986902702</v>
      </c>
      <c r="G34">
        <v>4.4587062707617697</v>
      </c>
      <c r="H34">
        <v>0.61397804709505299</v>
      </c>
      <c r="I34">
        <v>0.58013917920453695</v>
      </c>
      <c r="J34">
        <v>0.188497939881586</v>
      </c>
      <c r="K34">
        <v>4.1595651569211496</v>
      </c>
      <c r="L34">
        <v>0.58988715618985799</v>
      </c>
      <c r="M34">
        <v>0.504632754804892</v>
      </c>
      <c r="N34">
        <v>0.17030928598296299</v>
      </c>
      <c r="O34" s="2">
        <v>1000</v>
      </c>
      <c r="P34" s="2">
        <v>0</v>
      </c>
      <c r="Q34" s="1">
        <v>0</v>
      </c>
    </row>
    <row r="36" spans="1:17" x14ac:dyDescent="0.25">
      <c r="A36" s="1" t="s">
        <v>8</v>
      </c>
      <c r="B36" s="1" t="s">
        <v>25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26</v>
      </c>
      <c r="H36" s="1" t="s">
        <v>27</v>
      </c>
      <c r="I36" s="1" t="s">
        <v>28</v>
      </c>
      <c r="J36" s="1" t="s">
        <v>29</v>
      </c>
      <c r="K36" s="1" t="s">
        <v>30</v>
      </c>
      <c r="L36" s="1" t="s">
        <v>31</v>
      </c>
      <c r="M36" s="1" t="s">
        <v>32</v>
      </c>
      <c r="N36" s="1" t="s">
        <v>33</v>
      </c>
      <c r="O36" s="1" t="s">
        <v>34</v>
      </c>
      <c r="P36" s="1" t="s">
        <v>35</v>
      </c>
    </row>
    <row r="37" spans="1:17" x14ac:dyDescent="0.25">
      <c r="A37" s="1">
        <f>$B11</f>
        <v>4.1392685158224501E-2</v>
      </c>
      <c r="B37" s="1">
        <f>$D11</f>
        <v>5.2616495008796803E-2</v>
      </c>
      <c r="C37" s="1">
        <f t="shared" ref="C37:C60" si="0">B37-$E11</f>
        <v>5.256008679545203E-2</v>
      </c>
      <c r="D37" s="1">
        <f t="shared" ref="D37:D60" si="1">B37+$E11</f>
        <v>5.2672903222141576E-2</v>
      </c>
      <c r="E37" s="1">
        <f>$B37-$F11</f>
        <v>2.9908449131619101E-2</v>
      </c>
      <c r="F37" s="1">
        <f>$B37+$F11</f>
        <v>7.5324540885974511E-2</v>
      </c>
      <c r="G37" s="1">
        <f>$H11</f>
        <v>5.2547080285425603E-2</v>
      </c>
      <c r="H37" s="1">
        <f>$G37-$I11</f>
        <v>3.7740698233507501E-2</v>
      </c>
      <c r="I37" s="1">
        <f>$G37+$I11</f>
        <v>6.7353462337343697E-2</v>
      </c>
      <c r="J37" s="1">
        <f>$G37-$J11</f>
        <v>3.0707029282669204E-2</v>
      </c>
      <c r="K37" s="1">
        <f>$G37+$J11</f>
        <v>7.4387131288182001E-2</v>
      </c>
      <c r="L37" s="1">
        <f>$L11</f>
        <v>5.7080512833191599E-2</v>
      </c>
      <c r="M37" s="1">
        <f>$L37-$M11</f>
        <v>4.01589281617609E-2</v>
      </c>
      <c r="N37" s="1">
        <f>$L37+$M11</f>
        <v>7.4002097504622305E-2</v>
      </c>
      <c r="O37" s="1">
        <f>$L37-$N11</f>
        <v>3.1172833151825799E-2</v>
      </c>
      <c r="P37" s="1">
        <f>$L37+$N11</f>
        <v>8.2988192514557399E-2</v>
      </c>
    </row>
    <row r="38" spans="1:17" x14ac:dyDescent="0.25">
      <c r="A38" s="1">
        <f t="shared" ref="A38:A60" si="2">$B12</f>
        <v>8.2785370316449003E-2</v>
      </c>
      <c r="B38" s="1">
        <f t="shared" ref="B38:B60" si="3">$D12</f>
        <v>0.109512940772737</v>
      </c>
      <c r="C38" s="1">
        <f t="shared" si="0"/>
        <v>8.2789609793663607E-2</v>
      </c>
      <c r="D38" s="1">
        <f t="shared" si="1"/>
        <v>0.13623627175181041</v>
      </c>
      <c r="E38" s="1">
        <f t="shared" ref="E38:E60" si="4">$B38-$F12</f>
        <v>4.4130458353616508E-2</v>
      </c>
      <c r="F38" s="1">
        <f t="shared" ref="F38:F60" si="5">$B38+$F12</f>
        <v>0.1748954231918575</v>
      </c>
      <c r="G38" s="1">
        <f t="shared" ref="G38:G60" si="6">$H12</f>
        <v>0.109097414219279</v>
      </c>
      <c r="H38" s="1">
        <f t="shared" ref="H38:H60" si="7">$G38-$I12</f>
        <v>6.2795041406686208E-2</v>
      </c>
      <c r="I38" s="1">
        <f t="shared" ref="I38:I60" si="8">$G38+$I12</f>
        <v>0.15539978703187179</v>
      </c>
      <c r="J38" s="1">
        <f t="shared" ref="J38:J60" si="9">$G38-$J12</f>
        <v>4.61042780354355E-2</v>
      </c>
      <c r="K38" s="1">
        <f t="shared" ref="K38:K60" si="10">$G38+$J12</f>
        <v>0.17209055040312249</v>
      </c>
      <c r="L38" s="1">
        <f t="shared" ref="L38:L60" si="11">$L12</f>
        <v>0.116934335571984</v>
      </c>
      <c r="M38" s="1">
        <f t="shared" ref="M38:M60" si="12">$L38-$M12</f>
        <v>6.62605511062727E-2</v>
      </c>
      <c r="N38" s="1">
        <f t="shared" ref="N38:N60" si="13">$L38+$M12</f>
        <v>0.16760812003769532</v>
      </c>
      <c r="O38" s="1">
        <f t="shared" ref="O38:O60" si="14">$L38-$N12</f>
        <v>5.2905754873569105E-2</v>
      </c>
      <c r="P38" s="1">
        <f t="shared" ref="P38:P60" si="15">$L38+$N12</f>
        <v>0.1809629162703989</v>
      </c>
    </row>
    <row r="39" spans="1:17" x14ac:dyDescent="0.25">
      <c r="A39" s="1">
        <f t="shared" si="2"/>
        <v>0.124178055474673</v>
      </c>
      <c r="B39" s="1">
        <f t="shared" si="3"/>
        <v>0.17427036888216399</v>
      </c>
      <c r="C39" s="1">
        <f t="shared" si="0"/>
        <v>-2.7332712330880859</v>
      </c>
      <c r="D39" s="1">
        <f t="shared" si="1"/>
        <v>3.0818119708524137</v>
      </c>
      <c r="E39" s="1">
        <f t="shared" si="4"/>
        <v>3.8234403353933993E-2</v>
      </c>
      <c r="F39" s="1">
        <f t="shared" si="5"/>
        <v>0.31030633441039401</v>
      </c>
      <c r="G39" s="1">
        <f t="shared" si="6"/>
        <v>0.16672029224169799</v>
      </c>
      <c r="H39" s="1">
        <f t="shared" si="7"/>
        <v>7.6652142009188282E-2</v>
      </c>
      <c r="I39" s="1">
        <f t="shared" si="8"/>
        <v>0.25678844247420768</v>
      </c>
      <c r="J39" s="1">
        <f t="shared" si="9"/>
        <v>5.6738972676849991E-2</v>
      </c>
      <c r="K39" s="1">
        <f t="shared" si="10"/>
        <v>0.27670161180654596</v>
      </c>
      <c r="L39" s="1">
        <f t="shared" si="11"/>
        <v>0.17504966553413301</v>
      </c>
      <c r="M39" s="1">
        <f t="shared" si="12"/>
        <v>8.1226651729598309E-2</v>
      </c>
      <c r="N39" s="1">
        <f t="shared" si="13"/>
        <v>0.26887267933866771</v>
      </c>
      <c r="O39" s="1">
        <f t="shared" si="14"/>
        <v>6.9055969269068013E-2</v>
      </c>
      <c r="P39" s="1">
        <f t="shared" si="15"/>
        <v>0.28104336179919798</v>
      </c>
    </row>
    <row r="40" spans="1:17" x14ac:dyDescent="0.25">
      <c r="A40" s="1">
        <f t="shared" si="2"/>
        <v>0.16557074063289801</v>
      </c>
      <c r="B40" s="1">
        <f t="shared" si="3"/>
        <v>0.24948675149836799</v>
      </c>
      <c r="C40" s="1">
        <f t="shared" si="0"/>
        <v>-16.710060459370833</v>
      </c>
      <c r="D40" s="1">
        <f t="shared" si="1"/>
        <v>17.209033962367567</v>
      </c>
      <c r="E40" s="1">
        <f t="shared" si="4"/>
        <v>4.1242930921240983E-2</v>
      </c>
      <c r="F40" s="1">
        <f t="shared" si="5"/>
        <v>0.457730572075495</v>
      </c>
      <c r="G40" s="1">
        <f t="shared" si="6"/>
        <v>0.229196898370881</v>
      </c>
      <c r="H40" s="1">
        <f t="shared" si="7"/>
        <v>8.1299351646845014E-2</v>
      </c>
      <c r="I40" s="1">
        <f t="shared" si="8"/>
        <v>0.37709444509491696</v>
      </c>
      <c r="J40" s="1">
        <f t="shared" si="9"/>
        <v>6.8548360054775992E-2</v>
      </c>
      <c r="K40" s="1">
        <f t="shared" si="10"/>
        <v>0.38984543668698601</v>
      </c>
      <c r="L40" s="1">
        <f t="shared" si="11"/>
        <v>0.23585552003156601</v>
      </c>
      <c r="M40" s="1">
        <f t="shared" si="12"/>
        <v>8.9519848144384018E-2</v>
      </c>
      <c r="N40" s="1">
        <f t="shared" si="13"/>
        <v>0.38219119191874801</v>
      </c>
      <c r="O40" s="1">
        <f t="shared" si="14"/>
        <v>8.6188649063622003E-2</v>
      </c>
      <c r="P40" s="1">
        <f t="shared" si="15"/>
        <v>0.38552239099951002</v>
      </c>
    </row>
    <row r="41" spans="1:17" x14ac:dyDescent="0.25">
      <c r="A41" s="1">
        <f t="shared" si="2"/>
        <v>0.20696342579112301</v>
      </c>
      <c r="B41" s="1">
        <f t="shared" si="3"/>
        <v>0.31506807179090202</v>
      </c>
      <c r="C41" s="1">
        <f t="shared" si="0"/>
        <v>-27.6185166890399</v>
      </c>
      <c r="D41" s="1">
        <f t="shared" si="1"/>
        <v>28.248652832621701</v>
      </c>
      <c r="E41" s="1">
        <f t="shared" si="4"/>
        <v>7.649944921115201E-2</v>
      </c>
      <c r="F41" s="1">
        <f t="shared" si="5"/>
        <v>0.55363669437065199</v>
      </c>
      <c r="G41" s="1">
        <f t="shared" si="6"/>
        <v>0.28600140226445597</v>
      </c>
      <c r="H41" s="1">
        <f t="shared" si="7"/>
        <v>8.3293367740197966E-2</v>
      </c>
      <c r="I41" s="1">
        <f t="shared" si="8"/>
        <v>0.48870943678871398</v>
      </c>
      <c r="J41" s="1">
        <f t="shared" si="9"/>
        <v>0.10204100458441298</v>
      </c>
      <c r="K41" s="1">
        <f t="shared" si="10"/>
        <v>0.46996179994449894</v>
      </c>
      <c r="L41" s="1">
        <f t="shared" si="11"/>
        <v>0.289955759533366</v>
      </c>
      <c r="M41" s="1">
        <f t="shared" si="12"/>
        <v>9.4702751246264011E-2</v>
      </c>
      <c r="N41" s="1">
        <f t="shared" si="13"/>
        <v>0.48520876782046796</v>
      </c>
      <c r="O41" s="1">
        <f t="shared" si="14"/>
        <v>0.120570535796859</v>
      </c>
      <c r="P41" s="1">
        <f t="shared" si="15"/>
        <v>0.45934098326987299</v>
      </c>
    </row>
    <row r="42" spans="1:17" x14ac:dyDescent="0.25">
      <c r="A42" s="1">
        <f t="shared" si="2"/>
        <v>0.24835611094934601</v>
      </c>
      <c r="B42" s="1">
        <f t="shared" si="3"/>
        <v>0.37786504014108102</v>
      </c>
      <c r="C42" s="1">
        <f t="shared" si="0"/>
        <v>-47.28315656393162</v>
      </c>
      <c r="D42" s="1">
        <f t="shared" si="1"/>
        <v>48.038886644213783</v>
      </c>
      <c r="E42" s="1">
        <f t="shared" si="4"/>
        <v>0.10454702059395404</v>
      </c>
      <c r="F42" s="1">
        <f t="shared" si="5"/>
        <v>0.651183059688208</v>
      </c>
      <c r="G42" s="1">
        <f t="shared" si="6"/>
        <v>0.33811393604368001</v>
      </c>
      <c r="H42" s="1">
        <f t="shared" si="7"/>
        <v>7.9026651148944027E-2</v>
      </c>
      <c r="I42" s="1">
        <f t="shared" si="8"/>
        <v>0.59720122093841599</v>
      </c>
      <c r="J42" s="1">
        <f t="shared" si="9"/>
        <v>0.129430725035065</v>
      </c>
      <c r="K42" s="1">
        <f t="shared" si="10"/>
        <v>0.54679714705229499</v>
      </c>
      <c r="L42" s="1">
        <f t="shared" si="11"/>
        <v>0.338012667002066</v>
      </c>
      <c r="M42" s="1">
        <f t="shared" si="12"/>
        <v>9.5307026225729008E-2</v>
      </c>
      <c r="N42" s="1">
        <f t="shared" si="13"/>
        <v>0.58071830777840305</v>
      </c>
      <c r="O42" s="1">
        <f t="shared" si="14"/>
        <v>0.146826052157284</v>
      </c>
      <c r="P42" s="1">
        <f t="shared" si="15"/>
        <v>0.52919928184684806</v>
      </c>
    </row>
    <row r="43" spans="1:17" x14ac:dyDescent="0.25">
      <c r="A43" s="1">
        <f t="shared" si="2"/>
        <v>0.28974879610757398</v>
      </c>
      <c r="B43" s="1">
        <f t="shared" si="3"/>
        <v>0.396024660608082</v>
      </c>
      <c r="C43" s="1">
        <f t="shared" si="0"/>
        <v>-45.459092427168713</v>
      </c>
      <c r="D43" s="1">
        <f t="shared" si="1"/>
        <v>46.251141748384882</v>
      </c>
      <c r="E43" s="1">
        <f t="shared" si="4"/>
        <v>0.127023212643121</v>
      </c>
      <c r="F43" s="1">
        <f t="shared" si="5"/>
        <v>0.66502610857304301</v>
      </c>
      <c r="G43" s="1">
        <f t="shared" si="6"/>
        <v>0.35991938101154097</v>
      </c>
      <c r="H43" s="1">
        <f t="shared" si="7"/>
        <v>7.8272092693458972E-2</v>
      </c>
      <c r="I43" s="1">
        <f t="shared" si="8"/>
        <v>0.64156666932962292</v>
      </c>
      <c r="J43" s="1">
        <f t="shared" si="9"/>
        <v>0.14868800028105697</v>
      </c>
      <c r="K43" s="1">
        <f t="shared" si="10"/>
        <v>0.57115076174202495</v>
      </c>
      <c r="L43" s="1">
        <f t="shared" si="11"/>
        <v>0.35792254856317202</v>
      </c>
      <c r="M43" s="1">
        <f t="shared" si="12"/>
        <v>9.6185355246595994E-2</v>
      </c>
      <c r="N43" s="1">
        <f t="shared" si="13"/>
        <v>0.61965974187974804</v>
      </c>
      <c r="O43" s="1">
        <f t="shared" si="14"/>
        <v>0.16471056050531402</v>
      </c>
      <c r="P43" s="1">
        <f t="shared" si="15"/>
        <v>0.55113453662103007</v>
      </c>
    </row>
    <row r="44" spans="1:17" x14ac:dyDescent="0.25">
      <c r="A44" s="1">
        <f t="shared" si="2"/>
        <v>0.33114148126579601</v>
      </c>
      <c r="B44" s="1">
        <f t="shared" si="3"/>
        <v>0.45715481168102701</v>
      </c>
      <c r="C44" s="1">
        <f t="shared" si="0"/>
        <v>-63.081355119110668</v>
      </c>
      <c r="D44" s="1">
        <f t="shared" si="1"/>
        <v>63.995664742472727</v>
      </c>
      <c r="E44" s="1">
        <f t="shared" si="4"/>
        <v>0.17006477320778202</v>
      </c>
      <c r="F44" s="1">
        <f t="shared" si="5"/>
        <v>0.744244850154272</v>
      </c>
      <c r="G44" s="1">
        <f t="shared" si="6"/>
        <v>0.40912365515231902</v>
      </c>
      <c r="H44" s="1">
        <f t="shared" si="7"/>
        <v>7.1975694101054033E-2</v>
      </c>
      <c r="I44" s="1">
        <f t="shared" si="8"/>
        <v>0.74627161620358407</v>
      </c>
      <c r="J44" s="1">
        <f t="shared" si="9"/>
        <v>0.18640287609955403</v>
      </c>
      <c r="K44" s="1">
        <f t="shared" si="10"/>
        <v>0.63184443420508396</v>
      </c>
      <c r="L44" s="1">
        <f t="shared" si="11"/>
        <v>0.40320614612627098</v>
      </c>
      <c r="M44" s="1">
        <f t="shared" si="12"/>
        <v>9.5247257798343976E-2</v>
      </c>
      <c r="N44" s="1">
        <f t="shared" si="13"/>
        <v>0.71116503445419799</v>
      </c>
      <c r="O44" s="1">
        <f t="shared" si="14"/>
        <v>0.20001900830117497</v>
      </c>
      <c r="P44" s="1">
        <f t="shared" si="15"/>
        <v>0.60639328395136705</v>
      </c>
    </row>
    <row r="45" spans="1:17" x14ac:dyDescent="0.25">
      <c r="A45" s="1">
        <f t="shared" si="2"/>
        <v>0.37253416642402998</v>
      </c>
      <c r="B45" s="1">
        <f t="shared" si="3"/>
        <v>0.488635192294538</v>
      </c>
      <c r="C45" s="1">
        <f t="shared" si="0"/>
        <v>-82.612406423586563</v>
      </c>
      <c r="D45" s="1">
        <f t="shared" si="1"/>
        <v>83.589676808175639</v>
      </c>
      <c r="E45" s="1">
        <f t="shared" si="4"/>
        <v>0.18556716445602101</v>
      </c>
      <c r="F45" s="1">
        <f t="shared" si="5"/>
        <v>0.79170322013305494</v>
      </c>
      <c r="G45" s="1">
        <f t="shared" si="6"/>
        <v>0.436097737262925</v>
      </c>
      <c r="H45" s="1">
        <f t="shared" si="7"/>
        <v>6.6912351850652974E-2</v>
      </c>
      <c r="I45" s="1">
        <f t="shared" si="8"/>
        <v>0.80528312267519708</v>
      </c>
      <c r="J45" s="1">
        <f t="shared" si="9"/>
        <v>0.20645904898883699</v>
      </c>
      <c r="K45" s="1">
        <f t="shared" si="10"/>
        <v>0.66573642553701307</v>
      </c>
      <c r="L45" s="1">
        <f t="shared" si="11"/>
        <v>0.42800036453604701</v>
      </c>
      <c r="M45" s="1">
        <f t="shared" si="12"/>
        <v>9.4116352100017009E-2</v>
      </c>
      <c r="N45" s="1">
        <f t="shared" si="13"/>
        <v>0.761884376972077</v>
      </c>
      <c r="O45" s="1">
        <f t="shared" si="14"/>
        <v>0.21910107488446701</v>
      </c>
      <c r="P45" s="1">
        <f t="shared" si="15"/>
        <v>0.63689965418762706</v>
      </c>
    </row>
    <row r="46" spans="1:17" x14ac:dyDescent="0.25">
      <c r="A46" s="1">
        <f t="shared" si="2"/>
        <v>0.41392685158224601</v>
      </c>
      <c r="B46" s="1">
        <f t="shared" si="3"/>
        <v>0.50928648183510905</v>
      </c>
      <c r="C46" s="1">
        <f t="shared" si="0"/>
        <v>-82.875628655740101</v>
      </c>
      <c r="D46" s="1">
        <f t="shared" si="1"/>
        <v>83.89420161941031</v>
      </c>
      <c r="E46" s="1">
        <f t="shared" si="4"/>
        <v>0.21263636232111105</v>
      </c>
      <c r="F46" s="1">
        <f t="shared" si="5"/>
        <v>0.80593660134910705</v>
      </c>
      <c r="G46" s="1">
        <f t="shared" si="6"/>
        <v>0.45500456258287802</v>
      </c>
      <c r="H46" s="1">
        <f t="shared" si="7"/>
        <v>6.5322027626449009E-2</v>
      </c>
      <c r="I46" s="1">
        <f t="shared" si="8"/>
        <v>0.84468709753930704</v>
      </c>
      <c r="J46" s="1">
        <f t="shared" si="9"/>
        <v>0.22883581176689602</v>
      </c>
      <c r="K46" s="1">
        <f t="shared" si="10"/>
        <v>0.68117331339886</v>
      </c>
      <c r="L46" s="1">
        <f t="shared" si="11"/>
        <v>0.44513693619155298</v>
      </c>
      <c r="M46" s="1">
        <f t="shared" si="12"/>
        <v>9.4109946245095E-2</v>
      </c>
      <c r="N46" s="1">
        <f t="shared" si="13"/>
        <v>0.7961639261380109</v>
      </c>
      <c r="O46" s="1">
        <f t="shared" si="14"/>
        <v>0.23930158738744298</v>
      </c>
      <c r="P46" s="1">
        <f t="shared" si="15"/>
        <v>0.65097228499566295</v>
      </c>
    </row>
    <row r="47" spans="1:17" x14ac:dyDescent="0.25">
      <c r="A47" s="1">
        <f t="shared" si="2"/>
        <v>0.45531953674048498</v>
      </c>
      <c r="B47" s="1">
        <f t="shared" si="3"/>
        <v>0.54377738155377997</v>
      </c>
      <c r="C47" s="1">
        <f t="shared" si="0"/>
        <v>-107.93611161794122</v>
      </c>
      <c r="D47" s="1">
        <f t="shared" si="1"/>
        <v>109.02366638104878</v>
      </c>
      <c r="E47" s="1">
        <f t="shared" si="4"/>
        <v>0.23723753429389199</v>
      </c>
      <c r="F47" s="1">
        <f t="shared" si="5"/>
        <v>0.850317228813668</v>
      </c>
      <c r="G47" s="1">
        <f t="shared" si="6"/>
        <v>0.47854277582222499</v>
      </c>
      <c r="H47" s="1">
        <f t="shared" si="7"/>
        <v>6.1850528783485959E-2</v>
      </c>
      <c r="I47" s="1">
        <f t="shared" si="8"/>
        <v>0.89523502286096401</v>
      </c>
      <c r="J47" s="1">
        <f t="shared" si="9"/>
        <v>0.25414761510202499</v>
      </c>
      <c r="K47" s="1">
        <f t="shared" si="10"/>
        <v>0.70293793654242498</v>
      </c>
      <c r="L47" s="1">
        <f t="shared" si="11"/>
        <v>0.46682670321446201</v>
      </c>
      <c r="M47" s="1">
        <f t="shared" si="12"/>
        <v>9.3472620966387032E-2</v>
      </c>
      <c r="N47" s="1">
        <f t="shared" si="13"/>
        <v>0.84018078546253694</v>
      </c>
      <c r="O47" s="1">
        <f t="shared" si="14"/>
        <v>0.26303779343184902</v>
      </c>
      <c r="P47" s="1">
        <f t="shared" si="15"/>
        <v>0.67061561299707506</v>
      </c>
    </row>
    <row r="48" spans="1:17" x14ac:dyDescent="0.25">
      <c r="A48" s="1">
        <f t="shared" si="2"/>
        <v>0.49671222189869302</v>
      </c>
      <c r="B48" s="1">
        <f t="shared" si="3"/>
        <v>0.57396860505094005</v>
      </c>
      <c r="C48" s="1">
        <f t="shared" si="0"/>
        <v>-112.19821238079406</v>
      </c>
      <c r="D48" s="1">
        <f t="shared" si="1"/>
        <v>113.34614959089593</v>
      </c>
      <c r="E48" s="1">
        <f t="shared" si="4"/>
        <v>0.27241195414979907</v>
      </c>
      <c r="F48" s="1">
        <f t="shared" si="5"/>
        <v>0.87552525595208097</v>
      </c>
      <c r="G48" s="1">
        <f t="shared" si="6"/>
        <v>0.50492556067388905</v>
      </c>
      <c r="H48" s="1">
        <f t="shared" si="7"/>
        <v>5.6567704010407061E-2</v>
      </c>
      <c r="I48" s="1">
        <f t="shared" si="8"/>
        <v>0.95328341733737099</v>
      </c>
      <c r="J48" s="1">
        <f t="shared" si="9"/>
        <v>0.28113150385311103</v>
      </c>
      <c r="K48" s="1">
        <f t="shared" si="10"/>
        <v>0.72871961749466707</v>
      </c>
      <c r="L48" s="1">
        <f t="shared" si="11"/>
        <v>0.49071028255075699</v>
      </c>
      <c r="M48" s="1">
        <f t="shared" si="12"/>
        <v>9.1926362316562982E-2</v>
      </c>
      <c r="N48" s="1">
        <f t="shared" si="13"/>
        <v>0.88949420278495106</v>
      </c>
      <c r="O48" s="1">
        <f t="shared" si="14"/>
        <v>0.28746383118247099</v>
      </c>
      <c r="P48" s="1">
        <f t="shared" si="15"/>
        <v>0.693956733919043</v>
      </c>
    </row>
    <row r="49" spans="1:16" x14ac:dyDescent="0.25">
      <c r="A49" s="1">
        <f t="shared" si="2"/>
        <v>0.53810490705693204</v>
      </c>
      <c r="B49" s="1">
        <f t="shared" si="3"/>
        <v>0.57355964956744698</v>
      </c>
      <c r="C49" s="1">
        <f t="shared" si="0"/>
        <v>-117.36851537699356</v>
      </c>
      <c r="D49" s="1">
        <f t="shared" si="1"/>
        <v>118.51563467612844</v>
      </c>
      <c r="E49" s="1">
        <f t="shared" si="4"/>
        <v>0.27085228539427098</v>
      </c>
      <c r="F49" s="1">
        <f t="shared" si="5"/>
        <v>0.87626701374062299</v>
      </c>
      <c r="G49" s="1">
        <f t="shared" si="6"/>
        <v>0.50752162881821605</v>
      </c>
      <c r="H49" s="1">
        <f t="shared" si="7"/>
        <v>5.6867833331596063E-2</v>
      </c>
      <c r="I49" s="1">
        <f t="shared" si="8"/>
        <v>0.95817542430483604</v>
      </c>
      <c r="J49" s="1">
        <f t="shared" si="9"/>
        <v>0.28658791974146003</v>
      </c>
      <c r="K49" s="1">
        <f t="shared" si="10"/>
        <v>0.72845533789497208</v>
      </c>
      <c r="L49" s="1">
        <f t="shared" si="11"/>
        <v>0.49311105828993401</v>
      </c>
      <c r="M49" s="1">
        <f t="shared" si="12"/>
        <v>9.2196416805938985E-2</v>
      </c>
      <c r="N49" s="1">
        <f t="shared" si="13"/>
        <v>0.89402569977392909</v>
      </c>
      <c r="O49" s="1">
        <f t="shared" si="14"/>
        <v>0.29249988229392998</v>
      </c>
      <c r="P49" s="1">
        <f t="shared" si="15"/>
        <v>0.69372223428593804</v>
      </c>
    </row>
    <row r="50" spans="1:16" x14ac:dyDescent="0.25">
      <c r="A50" s="1">
        <f t="shared" si="2"/>
        <v>0.57949759221514796</v>
      </c>
      <c r="B50" s="1">
        <f t="shared" si="3"/>
        <v>0.58655972190098504</v>
      </c>
      <c r="C50" s="1">
        <f t="shared" si="0"/>
        <v>-106.90485301406102</v>
      </c>
      <c r="D50" s="1">
        <f t="shared" si="1"/>
        <v>108.07797245786298</v>
      </c>
      <c r="E50" s="1">
        <f t="shared" si="4"/>
        <v>0.29967116934689503</v>
      </c>
      <c r="F50" s="1">
        <f t="shared" si="5"/>
        <v>0.87344827445507511</v>
      </c>
      <c r="G50" s="1">
        <f t="shared" si="6"/>
        <v>0.532659252676013</v>
      </c>
      <c r="H50" s="1">
        <f t="shared" si="7"/>
        <v>5.1743376270660002E-2</v>
      </c>
      <c r="I50" s="1">
        <f t="shared" si="8"/>
        <v>1.0135751290813659</v>
      </c>
      <c r="J50" s="1">
        <f t="shared" si="9"/>
        <v>0.31527039322726202</v>
      </c>
      <c r="K50" s="1">
        <f t="shared" si="10"/>
        <v>0.75004811212476397</v>
      </c>
      <c r="L50" s="1">
        <f t="shared" si="11"/>
        <v>0.516083998552748</v>
      </c>
      <c r="M50" s="1">
        <f t="shared" si="12"/>
        <v>9.0715137691223025E-2</v>
      </c>
      <c r="N50" s="1">
        <f t="shared" si="13"/>
        <v>0.94145285941427304</v>
      </c>
      <c r="O50" s="1">
        <f t="shared" si="14"/>
        <v>0.31900245003925798</v>
      </c>
      <c r="P50" s="1">
        <f t="shared" si="15"/>
        <v>0.71316554706623803</v>
      </c>
    </row>
    <row r="51" spans="1:16" x14ac:dyDescent="0.25">
      <c r="A51" s="1">
        <f t="shared" si="2"/>
        <v>0.62089027737336999</v>
      </c>
      <c r="B51" s="1">
        <f t="shared" si="3"/>
        <v>0.60317249625845104</v>
      </c>
      <c r="C51" s="1">
        <f t="shared" si="0"/>
        <v>-116.57698429105754</v>
      </c>
      <c r="D51" s="1">
        <f t="shared" si="1"/>
        <v>117.78332928357445</v>
      </c>
      <c r="E51" s="1">
        <f t="shared" si="4"/>
        <v>0.31252304602747505</v>
      </c>
      <c r="F51" s="1">
        <f t="shared" si="5"/>
        <v>0.89382194648942703</v>
      </c>
      <c r="G51" s="1">
        <f t="shared" si="6"/>
        <v>0.54279325934938605</v>
      </c>
      <c r="H51" s="1">
        <f t="shared" si="7"/>
        <v>4.8950285524253068E-2</v>
      </c>
      <c r="I51" s="1">
        <f t="shared" si="8"/>
        <v>1.0366362331745189</v>
      </c>
      <c r="J51" s="1">
        <f t="shared" si="9"/>
        <v>0.32530263002793802</v>
      </c>
      <c r="K51" s="1">
        <f t="shared" si="10"/>
        <v>0.76028388867083407</v>
      </c>
      <c r="L51" s="1">
        <f t="shared" si="11"/>
        <v>0.52519038928755701</v>
      </c>
      <c r="M51" s="1">
        <f t="shared" si="12"/>
        <v>8.9704447179795033E-2</v>
      </c>
      <c r="N51" s="1">
        <f t="shared" si="13"/>
        <v>0.96067633139531905</v>
      </c>
      <c r="O51" s="1">
        <f t="shared" si="14"/>
        <v>0.32791017959298002</v>
      </c>
      <c r="P51" s="1">
        <f t="shared" si="15"/>
        <v>0.72247059898213406</v>
      </c>
    </row>
    <row r="52" spans="1:16" x14ac:dyDescent="0.25">
      <c r="A52" s="1">
        <f t="shared" si="2"/>
        <v>0.66228296253159202</v>
      </c>
      <c r="B52" s="1">
        <f t="shared" si="3"/>
        <v>0.61381277435194403</v>
      </c>
      <c r="C52" s="1">
        <f t="shared" si="0"/>
        <v>-131.65363380240404</v>
      </c>
      <c r="D52" s="1">
        <f t="shared" si="1"/>
        <v>132.88125935110793</v>
      </c>
      <c r="E52" s="1">
        <f t="shared" si="4"/>
        <v>0.31438435077889804</v>
      </c>
      <c r="F52" s="1">
        <f t="shared" si="5"/>
        <v>0.91324119792499003</v>
      </c>
      <c r="G52" s="1">
        <f t="shared" si="6"/>
        <v>0.54563078121793096</v>
      </c>
      <c r="H52" s="1">
        <f t="shared" si="7"/>
        <v>4.8548650090884937E-2</v>
      </c>
      <c r="I52" s="1">
        <f t="shared" si="8"/>
        <v>1.042712912344977</v>
      </c>
      <c r="J52" s="1">
        <f t="shared" si="9"/>
        <v>0.32939119705290598</v>
      </c>
      <c r="K52" s="1">
        <f t="shared" si="10"/>
        <v>0.76187036538295594</v>
      </c>
      <c r="L52" s="1">
        <f t="shared" si="11"/>
        <v>0.527963699193157</v>
      </c>
      <c r="M52" s="1">
        <f t="shared" si="12"/>
        <v>8.9690665046605E-2</v>
      </c>
      <c r="N52" s="1">
        <f t="shared" si="13"/>
        <v>0.96623673333970905</v>
      </c>
      <c r="O52" s="1">
        <f t="shared" si="14"/>
        <v>0.332174336634811</v>
      </c>
      <c r="P52" s="1">
        <f t="shared" si="15"/>
        <v>0.723753061751503</v>
      </c>
    </row>
    <row r="53" spans="1:16" x14ac:dyDescent="0.25">
      <c r="A53" s="1">
        <f t="shared" si="2"/>
        <v>0.70367564768981405</v>
      </c>
      <c r="B53" s="1">
        <f t="shared" si="3"/>
        <v>0.618447876738761</v>
      </c>
      <c r="C53" s="1">
        <f t="shared" si="0"/>
        <v>-111.04145219078124</v>
      </c>
      <c r="D53" s="1">
        <f t="shared" si="1"/>
        <v>112.27834794425875</v>
      </c>
      <c r="E53" s="1">
        <f t="shared" si="4"/>
        <v>0.338974707595812</v>
      </c>
      <c r="F53" s="1">
        <f t="shared" si="5"/>
        <v>0.89792104588170996</v>
      </c>
      <c r="G53" s="1">
        <f t="shared" si="6"/>
        <v>0.55780216384163805</v>
      </c>
      <c r="H53" s="1">
        <f t="shared" si="7"/>
        <v>4.6683689444641074E-2</v>
      </c>
      <c r="I53" s="1">
        <f t="shared" si="8"/>
        <v>1.0689206382386351</v>
      </c>
      <c r="J53" s="1">
        <f t="shared" si="9"/>
        <v>0.34718774527939505</v>
      </c>
      <c r="K53" s="1">
        <f t="shared" si="10"/>
        <v>0.76841658240388111</v>
      </c>
      <c r="L53" s="1">
        <f t="shared" si="11"/>
        <v>0.53880858270461196</v>
      </c>
      <c r="M53" s="1">
        <f t="shared" si="12"/>
        <v>8.9242516972882935E-2</v>
      </c>
      <c r="N53" s="1">
        <f t="shared" si="13"/>
        <v>0.98837464843634093</v>
      </c>
      <c r="O53" s="1">
        <f t="shared" si="14"/>
        <v>0.34784516697623696</v>
      </c>
      <c r="P53" s="1">
        <f t="shared" si="15"/>
        <v>0.7297719984329869</v>
      </c>
    </row>
    <row r="54" spans="1:16" x14ac:dyDescent="0.25">
      <c r="A54" s="1">
        <f t="shared" si="2"/>
        <v>0.74506833284806095</v>
      </c>
      <c r="B54" s="1">
        <f t="shared" si="3"/>
        <v>0.62620991993086605</v>
      </c>
      <c r="C54" s="1">
        <f t="shared" si="0"/>
        <v>-110.36219118280212</v>
      </c>
      <c r="D54" s="1">
        <f t="shared" si="1"/>
        <v>111.61461102266387</v>
      </c>
      <c r="E54" s="1">
        <f t="shared" si="4"/>
        <v>0.35129930371658508</v>
      </c>
      <c r="F54" s="1">
        <f t="shared" si="5"/>
        <v>0.90112053614514709</v>
      </c>
      <c r="G54" s="1">
        <f t="shared" si="6"/>
        <v>0.56976205415216397</v>
      </c>
      <c r="H54" s="1">
        <f t="shared" si="7"/>
        <v>4.3762421513367955E-2</v>
      </c>
      <c r="I54" s="1">
        <f t="shared" si="8"/>
        <v>1.0957616867909601</v>
      </c>
      <c r="J54" s="1">
        <f t="shared" si="9"/>
        <v>0.36168387121043699</v>
      </c>
      <c r="K54" s="1">
        <f t="shared" si="10"/>
        <v>0.77784023709389094</v>
      </c>
      <c r="L54" s="1">
        <f t="shared" si="11"/>
        <v>0.54969485890122405</v>
      </c>
      <c r="M54" s="1">
        <f t="shared" si="12"/>
        <v>8.8328435046241049E-2</v>
      </c>
      <c r="N54" s="1">
        <f t="shared" si="13"/>
        <v>1.0110612827562071</v>
      </c>
      <c r="O54" s="1">
        <f t="shared" si="14"/>
        <v>0.36119519597984007</v>
      </c>
      <c r="P54" s="1">
        <f t="shared" si="15"/>
        <v>0.73819452182260803</v>
      </c>
    </row>
    <row r="55" spans="1:16" x14ac:dyDescent="0.25">
      <c r="A55" s="1">
        <f t="shared" si="2"/>
        <v>0.78646101800628598</v>
      </c>
      <c r="B55" s="1">
        <f t="shared" si="3"/>
        <v>0.65678595536488305</v>
      </c>
      <c r="C55" s="1">
        <f t="shared" si="0"/>
        <v>-131.75107513570313</v>
      </c>
      <c r="D55" s="1">
        <f t="shared" si="1"/>
        <v>133.0646470464329</v>
      </c>
      <c r="E55" s="1">
        <f t="shared" si="4"/>
        <v>0.37835640779652807</v>
      </c>
      <c r="F55" s="1">
        <f t="shared" si="5"/>
        <v>0.93521550293323807</v>
      </c>
      <c r="G55" s="1">
        <f t="shared" si="6"/>
        <v>0.58925459568390703</v>
      </c>
      <c r="H55" s="1">
        <f t="shared" si="7"/>
        <v>3.8784518143418989E-2</v>
      </c>
      <c r="I55" s="1">
        <f t="shared" si="8"/>
        <v>1.1397246732243951</v>
      </c>
      <c r="J55" s="1">
        <f t="shared" si="9"/>
        <v>0.38624819654075404</v>
      </c>
      <c r="K55" s="1">
        <f t="shared" si="10"/>
        <v>0.79226099482706003</v>
      </c>
      <c r="L55" s="1">
        <f t="shared" si="11"/>
        <v>0.56745232083410102</v>
      </c>
      <c r="M55" s="1">
        <f t="shared" si="12"/>
        <v>8.666600536498803E-2</v>
      </c>
      <c r="N55" s="1">
        <f t="shared" si="13"/>
        <v>1.0482386363032141</v>
      </c>
      <c r="O55" s="1">
        <f t="shared" si="14"/>
        <v>0.38379747338721504</v>
      </c>
      <c r="P55" s="1">
        <f t="shared" si="15"/>
        <v>0.751107168280987</v>
      </c>
    </row>
    <row r="56" spans="1:16" x14ac:dyDescent="0.25">
      <c r="A56" s="1">
        <f t="shared" si="2"/>
        <v>0.82785370316449203</v>
      </c>
      <c r="B56" s="1">
        <f t="shared" si="3"/>
        <v>0.64352838909289101</v>
      </c>
      <c r="C56" s="1">
        <f t="shared" si="0"/>
        <v>-149.26425764880511</v>
      </c>
      <c r="D56" s="1">
        <f t="shared" si="1"/>
        <v>150.5513144269909</v>
      </c>
      <c r="E56" s="1">
        <f t="shared" si="4"/>
        <v>0.349765425082397</v>
      </c>
      <c r="F56" s="1">
        <f t="shared" si="5"/>
        <v>0.93729135310338507</v>
      </c>
      <c r="G56" s="1">
        <f t="shared" si="6"/>
        <v>0.58317242924393897</v>
      </c>
      <c r="H56" s="1">
        <f t="shared" si="7"/>
        <v>4.0622266656697992E-2</v>
      </c>
      <c r="I56" s="1">
        <f t="shared" si="8"/>
        <v>1.12572259183118</v>
      </c>
      <c r="J56" s="1">
        <f t="shared" si="9"/>
        <v>0.37945794669600197</v>
      </c>
      <c r="K56" s="1">
        <f t="shared" si="10"/>
        <v>0.78688691179187598</v>
      </c>
      <c r="L56" s="1">
        <f t="shared" si="11"/>
        <v>0.56202987907837498</v>
      </c>
      <c r="M56" s="1">
        <f t="shared" si="12"/>
        <v>8.7305213126712966E-2</v>
      </c>
      <c r="N56" s="1">
        <f t="shared" si="13"/>
        <v>1.0367545450300371</v>
      </c>
      <c r="O56" s="1">
        <f t="shared" si="14"/>
        <v>0.37782675746169697</v>
      </c>
      <c r="P56" s="1">
        <f t="shared" si="15"/>
        <v>0.74623300069505305</v>
      </c>
    </row>
    <row r="57" spans="1:16" x14ac:dyDescent="0.25">
      <c r="A57" s="1">
        <f t="shared" si="2"/>
        <v>0.86924638832272205</v>
      </c>
      <c r="B57" s="1">
        <f t="shared" si="3"/>
        <v>0.67108928347347097</v>
      </c>
      <c r="C57" s="1">
        <f t="shared" si="0"/>
        <v>-164.84974288838353</v>
      </c>
      <c r="D57" s="1">
        <f t="shared" si="1"/>
        <v>166.19192145533046</v>
      </c>
      <c r="E57" s="1">
        <f t="shared" si="4"/>
        <v>0.37728606183252994</v>
      </c>
      <c r="F57" s="1">
        <f t="shared" si="5"/>
        <v>0.96489250511441194</v>
      </c>
      <c r="G57" s="1">
        <f t="shared" si="6"/>
        <v>0.59601529996200497</v>
      </c>
      <c r="H57" s="1">
        <f t="shared" si="7"/>
        <v>3.8354743638585931E-2</v>
      </c>
      <c r="I57" s="1">
        <f t="shared" si="8"/>
        <v>1.1536758562854241</v>
      </c>
      <c r="J57" s="1">
        <f t="shared" si="9"/>
        <v>0.39999327895037495</v>
      </c>
      <c r="K57" s="1">
        <f t="shared" si="10"/>
        <v>0.792037320973635</v>
      </c>
      <c r="L57" s="1">
        <f t="shared" si="11"/>
        <v>0.57370261629299402</v>
      </c>
      <c r="M57" s="1">
        <f t="shared" si="12"/>
        <v>8.6718678339694044E-2</v>
      </c>
      <c r="N57" s="1">
        <f t="shared" si="13"/>
        <v>1.060686554246294</v>
      </c>
      <c r="O57" s="1">
        <f t="shared" si="14"/>
        <v>0.39658879316623802</v>
      </c>
      <c r="P57" s="1">
        <f t="shared" si="15"/>
        <v>0.75081643941975007</v>
      </c>
    </row>
    <row r="58" spans="1:16" x14ac:dyDescent="0.25">
      <c r="A58" s="1">
        <f t="shared" si="2"/>
        <v>0.91063907348097095</v>
      </c>
      <c r="B58" s="1">
        <f t="shared" si="3"/>
        <v>0.69955378303384097</v>
      </c>
      <c r="C58" s="1">
        <f t="shared" si="0"/>
        <v>-191.56183388379614</v>
      </c>
      <c r="D58" s="1">
        <f t="shared" si="1"/>
        <v>192.96094144986384</v>
      </c>
      <c r="E58" s="1">
        <f t="shared" si="4"/>
        <v>0.40005194472976396</v>
      </c>
      <c r="F58" s="1">
        <f t="shared" si="5"/>
        <v>0.99905562133791803</v>
      </c>
      <c r="G58" s="1">
        <f t="shared" si="6"/>
        <v>0.60458955082565102</v>
      </c>
      <c r="H58" s="1">
        <f t="shared" si="7"/>
        <v>3.5993985599961031E-2</v>
      </c>
      <c r="I58" s="1">
        <f t="shared" si="8"/>
        <v>1.1731851160513411</v>
      </c>
      <c r="J58" s="1">
        <f t="shared" si="9"/>
        <v>0.41113378163173403</v>
      </c>
      <c r="K58" s="1">
        <f t="shared" si="10"/>
        <v>0.79804532001956807</v>
      </c>
      <c r="L58" s="1">
        <f t="shared" si="11"/>
        <v>0.58140165573242197</v>
      </c>
      <c r="M58" s="1">
        <f t="shared" si="12"/>
        <v>8.592253543339895E-2</v>
      </c>
      <c r="N58" s="1">
        <f t="shared" si="13"/>
        <v>1.0768807760314449</v>
      </c>
      <c r="O58" s="1">
        <f t="shared" si="14"/>
        <v>0.40657096946071197</v>
      </c>
      <c r="P58" s="1">
        <f t="shared" si="15"/>
        <v>0.75623234200413192</v>
      </c>
    </row>
    <row r="59" spans="1:16" x14ac:dyDescent="0.25">
      <c r="A59" s="1">
        <f t="shared" si="2"/>
        <v>0.95203175863915301</v>
      </c>
      <c r="B59" s="1">
        <f t="shared" si="3"/>
        <v>0.69834496541042301</v>
      </c>
      <c r="C59" s="1">
        <f t="shared" si="0"/>
        <v>-148.05739077443556</v>
      </c>
      <c r="D59" s="1">
        <f t="shared" si="1"/>
        <v>149.45408070525642</v>
      </c>
      <c r="E59" s="1">
        <f t="shared" si="4"/>
        <v>0.42651809161425702</v>
      </c>
      <c r="F59" s="1">
        <f t="shared" si="5"/>
        <v>0.970171839206589</v>
      </c>
      <c r="G59" s="1">
        <f t="shared" si="6"/>
        <v>0.60450319146443399</v>
      </c>
      <c r="H59" s="1">
        <f t="shared" si="7"/>
        <v>3.6464192379553007E-2</v>
      </c>
      <c r="I59" s="1">
        <f t="shared" si="8"/>
        <v>1.172542190549315</v>
      </c>
      <c r="J59" s="1">
        <f t="shared" si="9"/>
        <v>0.41278108231560495</v>
      </c>
      <c r="K59" s="1">
        <f t="shared" si="10"/>
        <v>0.79622530061326302</v>
      </c>
      <c r="L59" s="1">
        <f t="shared" si="11"/>
        <v>0.58152583378789702</v>
      </c>
      <c r="M59" s="1">
        <f t="shared" si="12"/>
        <v>8.6136674269407021E-2</v>
      </c>
      <c r="N59" s="1">
        <f t="shared" si="13"/>
        <v>1.0769149933063871</v>
      </c>
      <c r="O59" s="1">
        <f t="shared" si="14"/>
        <v>0.40861511101509801</v>
      </c>
      <c r="P59" s="1">
        <f t="shared" si="15"/>
        <v>0.75443655656069608</v>
      </c>
    </row>
    <row r="60" spans="1:16" x14ac:dyDescent="0.25">
      <c r="A60" s="1">
        <f t="shared" si="2"/>
        <v>0.99342444379738704</v>
      </c>
      <c r="B60" s="1">
        <f t="shared" si="3"/>
        <v>0.69963355801150795</v>
      </c>
      <c r="C60" s="1">
        <f t="shared" si="0"/>
        <v>-150.12130938328951</v>
      </c>
      <c r="D60" s="1">
        <f t="shared" si="1"/>
        <v>151.52057649931251</v>
      </c>
      <c r="E60" s="1">
        <f t="shared" si="4"/>
        <v>0.43173482814248093</v>
      </c>
      <c r="F60" s="1">
        <f t="shared" si="5"/>
        <v>0.96753228788053502</v>
      </c>
      <c r="G60" s="1">
        <f t="shared" si="6"/>
        <v>0.61397804709505299</v>
      </c>
      <c r="H60" s="1">
        <f t="shared" si="7"/>
        <v>3.3838867890516044E-2</v>
      </c>
      <c r="I60" s="1">
        <f t="shared" si="8"/>
        <v>1.1941172262995901</v>
      </c>
      <c r="J60" s="1">
        <f t="shared" si="9"/>
        <v>0.42548010721346696</v>
      </c>
      <c r="K60" s="1">
        <f t="shared" si="10"/>
        <v>0.80247598697663902</v>
      </c>
      <c r="L60" s="1">
        <f t="shared" si="11"/>
        <v>0.58988715618985799</v>
      </c>
      <c r="M60" s="1">
        <f t="shared" si="12"/>
        <v>8.5254401384965983E-2</v>
      </c>
      <c r="N60" s="1">
        <f t="shared" si="13"/>
        <v>1.0945199109947499</v>
      </c>
      <c r="O60" s="1">
        <f t="shared" si="14"/>
        <v>0.41957787020689497</v>
      </c>
      <c r="P60" s="1">
        <f t="shared" si="15"/>
        <v>0.76019644217282101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zoomScaleNormal="100" workbookViewId="0">
      <selection activeCell="A10" sqref="A10:N34"/>
    </sheetView>
  </sheetViews>
  <sheetFormatPr defaultColWidth="10.7109375" defaultRowHeight="15" x14ac:dyDescent="0.25"/>
  <cols>
    <col min="1" max="1" width="10.7109375" style="1"/>
    <col min="2" max="2" width="10.7109375" style="1" customWidth="1"/>
    <col min="3" max="16384" width="10.7109375" style="1"/>
  </cols>
  <sheetData>
    <row r="1" spans="1:17" x14ac:dyDescent="0.25">
      <c r="A1" s="1" t="s">
        <v>0</v>
      </c>
      <c r="B1" s="9">
        <v>64</v>
      </c>
      <c r="C1" s="9"/>
    </row>
    <row r="2" spans="1:17" x14ac:dyDescent="0.25">
      <c r="A2" s="1" t="s">
        <v>1</v>
      </c>
      <c r="B2" s="9">
        <v>100</v>
      </c>
      <c r="C2" s="9"/>
    </row>
    <row r="3" spans="1:17" x14ac:dyDescent="0.25">
      <c r="A3" s="1" t="s">
        <v>2</v>
      </c>
      <c r="B3" s="9">
        <v>1</v>
      </c>
      <c r="C3" s="9"/>
    </row>
    <row r="4" spans="1:17" x14ac:dyDescent="0.25">
      <c r="A4" s="1" t="s">
        <v>3</v>
      </c>
      <c r="B4" s="9">
        <v>10</v>
      </c>
      <c r="C4" s="9"/>
    </row>
    <row r="5" spans="1:17" x14ac:dyDescent="0.25">
      <c r="A5" s="1" t="s">
        <v>4</v>
      </c>
      <c r="B5" s="10">
        <v>1.1000000000000001</v>
      </c>
      <c r="C5" s="10"/>
    </row>
    <row r="6" spans="1:17" x14ac:dyDescent="0.25">
      <c r="A6" s="1" t="s">
        <v>5</v>
      </c>
      <c r="B6" s="10">
        <v>5.5100000000000003E-2</v>
      </c>
      <c r="C6" s="10"/>
    </row>
    <row r="7" spans="1:17" x14ac:dyDescent="0.25">
      <c r="A7" s="1" t="s">
        <v>6</v>
      </c>
      <c r="B7" s="8">
        <v>161803398874989</v>
      </c>
      <c r="C7" s="8"/>
    </row>
    <row r="10" spans="1:17" x14ac:dyDescent="0.25">
      <c r="A10" t="s">
        <v>7</v>
      </c>
      <c r="B10" t="s">
        <v>40</v>
      </c>
      <c r="C10" t="s">
        <v>9</v>
      </c>
      <c r="D10" t="s">
        <v>41</v>
      </c>
      <c r="E10" t="s">
        <v>11</v>
      </c>
      <c r="F10" t="s">
        <v>12</v>
      </c>
      <c r="G10" t="s">
        <v>13</v>
      </c>
      <c r="H10" t="s">
        <v>42</v>
      </c>
      <c r="I10" t="s">
        <v>15</v>
      </c>
      <c r="J10" t="s">
        <v>16</v>
      </c>
      <c r="K10" t="s">
        <v>17</v>
      </c>
      <c r="L10" t="s">
        <v>43</v>
      </c>
      <c r="M10" t="s">
        <v>19</v>
      </c>
      <c r="N10" t="s">
        <v>20</v>
      </c>
      <c r="O10" s="2" t="s">
        <v>38</v>
      </c>
      <c r="P10" s="2" t="s">
        <v>39</v>
      </c>
      <c r="Q10" s="1" t="s">
        <v>36</v>
      </c>
    </row>
    <row r="11" spans="1:17" x14ac:dyDescent="0.25">
      <c r="A11">
        <v>1.1000000000000001</v>
      </c>
      <c r="B11">
        <v>4.1392685158224501E-2</v>
      </c>
      <c r="C11">
        <v>1.1249775497018399</v>
      </c>
      <c r="D11">
        <v>5.0946802181494E-2</v>
      </c>
      <c r="E11" s="14">
        <v>1.6365369667669E-5</v>
      </c>
      <c r="F11">
        <v>1.29915478595082E-2</v>
      </c>
      <c r="G11">
        <v>1.12500368303061</v>
      </c>
      <c r="H11">
        <v>5.0960089669102898E-2</v>
      </c>
      <c r="I11">
        <v>9.5880469751527808E-3</v>
      </c>
      <c r="J11">
        <v>1.2896113696145199E-2</v>
      </c>
      <c r="K11">
        <v>1.136344</v>
      </c>
      <c r="L11">
        <v>5.5052271260438698E-2</v>
      </c>
      <c r="M11">
        <v>1.10055938647539E-2</v>
      </c>
      <c r="N11">
        <v>1.9822270604691199E-2</v>
      </c>
      <c r="O11" s="2">
        <v>1000</v>
      </c>
      <c r="P11" s="2">
        <v>0</v>
      </c>
      <c r="Q11" s="1">
        <v>0</v>
      </c>
    </row>
    <row r="12" spans="1:17" x14ac:dyDescent="0.25">
      <c r="A12">
        <v>1.21000000000001</v>
      </c>
      <c r="B12">
        <v>8.2785370316449003E-2</v>
      </c>
      <c r="C12">
        <v>1.2661399386941199</v>
      </c>
      <c r="D12">
        <v>0.101014496976</v>
      </c>
      <c r="E12" s="14">
        <v>9.24960652968078E-5</v>
      </c>
      <c r="F12">
        <v>3.4704428428405799E-2</v>
      </c>
      <c r="G12">
        <v>1.2657054435485799</v>
      </c>
      <c r="H12">
        <v>0.100959204193485</v>
      </c>
      <c r="I12">
        <v>2.7163555462531901E-2</v>
      </c>
      <c r="J12">
        <v>3.3787455251867403E-2</v>
      </c>
      <c r="K12">
        <v>1.2820024602</v>
      </c>
      <c r="L12">
        <v>0.10646198622695301</v>
      </c>
      <c r="M12">
        <v>2.9308689120055801E-2</v>
      </c>
      <c r="N12">
        <v>3.4520395388719899E-2</v>
      </c>
      <c r="O12" s="2">
        <v>1000</v>
      </c>
      <c r="P12" s="2">
        <v>0</v>
      </c>
      <c r="Q12" s="1">
        <v>0</v>
      </c>
    </row>
    <row r="13" spans="1:17" x14ac:dyDescent="0.25">
      <c r="A13">
        <v>1.33099999999998</v>
      </c>
      <c r="B13">
        <v>0.124178055474673</v>
      </c>
      <c r="C13">
        <v>1.4311889416100201</v>
      </c>
      <c r="D13">
        <v>0.14953373522729699</v>
      </c>
      <c r="E13">
        <v>1.9022321656572801E-2</v>
      </c>
      <c r="F13">
        <v>6.7145248816795594E-2</v>
      </c>
      <c r="G13">
        <v>1.41920260834111</v>
      </c>
      <c r="H13">
        <v>0.14715835863000101</v>
      </c>
      <c r="I13">
        <v>4.8582926412027799E-2</v>
      </c>
      <c r="J13">
        <v>6.0369781179359303E-2</v>
      </c>
      <c r="K13">
        <v>1.4295926019160801</v>
      </c>
      <c r="L13">
        <v>0.150545195920464</v>
      </c>
      <c r="M13">
        <v>4.9949990718748297E-2</v>
      </c>
      <c r="N13">
        <v>5.9283838374526297E-2</v>
      </c>
      <c r="O13" s="2">
        <v>1000</v>
      </c>
      <c r="P13" s="2">
        <v>0</v>
      </c>
      <c r="Q13" s="1">
        <v>0</v>
      </c>
    </row>
    <row r="14" spans="1:17" x14ac:dyDescent="0.25">
      <c r="A14">
        <v>1.46409999999998</v>
      </c>
      <c r="B14">
        <v>0.16557074063289801</v>
      </c>
      <c r="C14">
        <v>1.7808542476504701</v>
      </c>
      <c r="D14">
        <v>0.21954506199587101</v>
      </c>
      <c r="E14">
        <v>0.24117574362545399</v>
      </c>
      <c r="F14">
        <v>0.13913937165349499</v>
      </c>
      <c r="G14">
        <v>1.69828301449091</v>
      </c>
      <c r="H14">
        <v>0.20721291295734501</v>
      </c>
      <c r="I14">
        <v>8.4122759301438796E-2</v>
      </c>
      <c r="J14">
        <v>0.11336228999336501</v>
      </c>
      <c r="K14">
        <v>1.6953966618865699</v>
      </c>
      <c r="L14">
        <v>0.20837092703380999</v>
      </c>
      <c r="M14">
        <v>8.9362596530298502E-2</v>
      </c>
      <c r="N14">
        <v>0.109952850835835</v>
      </c>
      <c r="O14" s="2">
        <v>1000</v>
      </c>
      <c r="P14" s="2">
        <v>0</v>
      </c>
      <c r="Q14" s="1">
        <v>0</v>
      </c>
    </row>
    <row r="15" spans="1:17" x14ac:dyDescent="0.25">
      <c r="A15">
        <v>1.6105099999999799</v>
      </c>
      <c r="B15">
        <v>0.20696342579112301</v>
      </c>
      <c r="C15">
        <v>2.1696582869760599</v>
      </c>
      <c r="D15">
        <v>0.285214893709757</v>
      </c>
      <c r="E15">
        <v>0.88038642607760997</v>
      </c>
      <c r="F15">
        <v>0.17940189859442399</v>
      </c>
      <c r="G15">
        <v>2.1993111099706999</v>
      </c>
      <c r="H15">
        <v>0.268427759365713</v>
      </c>
      <c r="I15">
        <v>0.12804190302761401</v>
      </c>
      <c r="J15">
        <v>0.17644725583312801</v>
      </c>
      <c r="K15">
        <v>2.14837134440985</v>
      </c>
      <c r="L15">
        <v>0.26644621383655598</v>
      </c>
      <c r="M15">
        <v>0.17937816300609699</v>
      </c>
      <c r="N15">
        <v>0.170128435479837</v>
      </c>
      <c r="O15" s="2">
        <v>1000</v>
      </c>
      <c r="P15" s="2">
        <v>0</v>
      </c>
      <c r="Q15" s="1">
        <v>0</v>
      </c>
    </row>
    <row r="16" spans="1:17" x14ac:dyDescent="0.25">
      <c r="A16">
        <v>1.7715610000000099</v>
      </c>
      <c r="B16">
        <v>0.24835611094934601</v>
      </c>
      <c r="C16">
        <v>2.7026104733467502</v>
      </c>
      <c r="D16">
        <v>0.36496398956157799</v>
      </c>
      <c r="E16">
        <v>1.67273063878373</v>
      </c>
      <c r="F16">
        <v>0.21363502320594299</v>
      </c>
      <c r="G16">
        <v>2.8282449342104399</v>
      </c>
      <c r="H16">
        <v>0.34076340187376702</v>
      </c>
      <c r="I16">
        <v>0.18395352383096999</v>
      </c>
      <c r="J16">
        <v>0.224315971691469</v>
      </c>
      <c r="K16">
        <v>2.7243340793550499</v>
      </c>
      <c r="L16">
        <v>0.33594603169028098</v>
      </c>
      <c r="M16">
        <v>0.286560593701079</v>
      </c>
      <c r="N16">
        <v>0.216914659959072</v>
      </c>
      <c r="O16" s="2">
        <v>1000</v>
      </c>
      <c r="P16" s="2">
        <v>0</v>
      </c>
      <c r="Q16" s="1">
        <v>0</v>
      </c>
    </row>
    <row r="17" spans="1:17" x14ac:dyDescent="0.25">
      <c r="A17">
        <v>1.9487171000000201</v>
      </c>
      <c r="B17">
        <v>0.28974879610757398</v>
      </c>
      <c r="C17">
        <v>3.0496905818018898</v>
      </c>
      <c r="D17">
        <v>0.405582746862303</v>
      </c>
      <c r="E17">
        <v>1.5189359266911899</v>
      </c>
      <c r="F17">
        <v>0.23203282555896901</v>
      </c>
      <c r="G17">
        <v>3.27437559816497</v>
      </c>
      <c r="H17">
        <v>0.38125625271156899</v>
      </c>
      <c r="I17">
        <v>0.21835460381226801</v>
      </c>
      <c r="J17">
        <v>0.25191908560141801</v>
      </c>
      <c r="K17">
        <v>3.13023682309379</v>
      </c>
      <c r="L17">
        <v>0.37543600285698497</v>
      </c>
      <c r="M17">
        <v>0.36822520144167198</v>
      </c>
      <c r="N17">
        <v>0.24351129743608599</v>
      </c>
      <c r="O17" s="2">
        <v>1000</v>
      </c>
      <c r="P17" s="2">
        <v>0</v>
      </c>
      <c r="Q17" s="1">
        <v>0</v>
      </c>
    </row>
    <row r="18" spans="1:17" x14ac:dyDescent="0.25">
      <c r="A18">
        <v>2.1435888099999798</v>
      </c>
      <c r="B18">
        <v>0.33114148126579601</v>
      </c>
      <c r="C18">
        <v>3.7383191037835801</v>
      </c>
      <c r="D18">
        <v>0.48389364184193201</v>
      </c>
      <c r="E18">
        <v>7.4270244489609398</v>
      </c>
      <c r="F18">
        <v>0.259527704388261</v>
      </c>
      <c r="G18">
        <v>4.7614805886862497</v>
      </c>
      <c r="H18">
        <v>0.47269714765855497</v>
      </c>
      <c r="I18">
        <v>0.30686593376077398</v>
      </c>
      <c r="J18">
        <v>0.33018827266360401</v>
      </c>
      <c r="K18">
        <v>4.4504875898260599</v>
      </c>
      <c r="L18">
        <v>0.46402234698784101</v>
      </c>
      <c r="M18">
        <v>0.66914242166098603</v>
      </c>
      <c r="N18">
        <v>0.31775113698382601</v>
      </c>
      <c r="O18" s="2">
        <v>1000</v>
      </c>
      <c r="P18" s="2">
        <v>0</v>
      </c>
      <c r="Q18" s="1">
        <v>0</v>
      </c>
    </row>
    <row r="19" spans="1:17" x14ac:dyDescent="0.25">
      <c r="A19">
        <v>2.3579476909999699</v>
      </c>
      <c r="B19">
        <v>0.37253416642402998</v>
      </c>
      <c r="C19">
        <v>4.0003038103038904</v>
      </c>
      <c r="D19">
        <v>0.51833378431976496</v>
      </c>
      <c r="E19">
        <v>7.8026264918473496</v>
      </c>
      <c r="F19">
        <v>0.25623915248471901</v>
      </c>
      <c r="G19">
        <v>5.4775064462283503</v>
      </c>
      <c r="H19">
        <v>0.52120690755987498</v>
      </c>
      <c r="I19">
        <v>0.35257974655928398</v>
      </c>
      <c r="J19">
        <v>0.35042690748973898</v>
      </c>
      <c r="K19">
        <v>5.0896207622234897</v>
      </c>
      <c r="L19">
        <v>0.510922958323624</v>
      </c>
      <c r="M19">
        <v>0.81009051225112205</v>
      </c>
      <c r="N19">
        <v>0.33703899079995098</v>
      </c>
      <c r="O19" s="2">
        <v>1000</v>
      </c>
      <c r="P19" s="2">
        <v>0</v>
      </c>
      <c r="Q19" s="1">
        <v>0</v>
      </c>
    </row>
    <row r="20" spans="1:17" x14ac:dyDescent="0.25">
      <c r="A20">
        <v>2.5937424601000201</v>
      </c>
      <c r="B20">
        <v>0.41392685158224601</v>
      </c>
      <c r="C20">
        <v>4.3382856330210897</v>
      </c>
      <c r="D20">
        <v>0.54845725410070101</v>
      </c>
      <c r="E20">
        <v>11.425426867523599</v>
      </c>
      <c r="F20">
        <v>0.26359887876701299</v>
      </c>
      <c r="G20">
        <v>5.9573196130046098</v>
      </c>
      <c r="H20">
        <v>0.55292846527764095</v>
      </c>
      <c r="I20">
        <v>0.38276729284045102</v>
      </c>
      <c r="J20">
        <v>0.36066826860536599</v>
      </c>
      <c r="K20">
        <v>5.5188905094017704</v>
      </c>
      <c r="L20">
        <v>0.54184509350449395</v>
      </c>
      <c r="M20">
        <v>0.90396041336436095</v>
      </c>
      <c r="N20">
        <v>0.346493339244972</v>
      </c>
      <c r="O20" s="2">
        <v>1000</v>
      </c>
      <c r="P20" s="2">
        <v>0</v>
      </c>
      <c r="Q20" s="1">
        <v>0</v>
      </c>
    </row>
    <row r="21" spans="1:17" x14ac:dyDescent="0.25">
      <c r="A21">
        <v>2.85311670611005</v>
      </c>
      <c r="B21">
        <v>0.45531953674048498</v>
      </c>
      <c r="C21">
        <v>4.8448551218162903</v>
      </c>
      <c r="D21">
        <v>0.59641631425353203</v>
      </c>
      <c r="E21">
        <v>14.8328291339185</v>
      </c>
      <c r="F21">
        <v>0.269303132970105</v>
      </c>
      <c r="G21">
        <v>7.3023307076042903</v>
      </c>
      <c r="H21">
        <v>0.62176799239913605</v>
      </c>
      <c r="I21">
        <v>0.45509432344664502</v>
      </c>
      <c r="J21">
        <v>0.39549958879237201</v>
      </c>
      <c r="K21">
        <v>6.7044148017627903</v>
      </c>
      <c r="L21">
        <v>0.60841037918386798</v>
      </c>
      <c r="M21">
        <v>1.1839222944521699</v>
      </c>
      <c r="N21">
        <v>0.379051590403578</v>
      </c>
      <c r="O21" s="2">
        <v>1000</v>
      </c>
      <c r="P21" s="2">
        <v>0</v>
      </c>
      <c r="Q21" s="1">
        <v>0</v>
      </c>
    </row>
    <row r="22" spans="1:17" x14ac:dyDescent="0.25">
      <c r="A22">
        <v>3.1384283767210501</v>
      </c>
      <c r="B22">
        <v>0.49671222189869302</v>
      </c>
      <c r="C22">
        <v>5.3116489326235303</v>
      </c>
      <c r="D22">
        <v>0.643133348615191</v>
      </c>
      <c r="E22">
        <v>25.2327094056051</v>
      </c>
      <c r="F22">
        <v>0.26277607906439798</v>
      </c>
      <c r="G22">
        <v>8.3945980543335903</v>
      </c>
      <c r="H22">
        <v>0.67867280465139401</v>
      </c>
      <c r="I22">
        <v>0.51381609547310403</v>
      </c>
      <c r="J22">
        <v>0.41082697837502902</v>
      </c>
      <c r="K22">
        <v>7.6661839048477498</v>
      </c>
      <c r="L22">
        <v>0.66342605607295102</v>
      </c>
      <c r="M22">
        <v>1.4130601009367201</v>
      </c>
      <c r="N22">
        <v>0.39287246709715101</v>
      </c>
      <c r="O22" s="2">
        <v>1000</v>
      </c>
      <c r="P22" s="2">
        <v>0</v>
      </c>
      <c r="Q22" s="1">
        <v>0</v>
      </c>
    </row>
    <row r="23" spans="1:17" x14ac:dyDescent="0.25">
      <c r="A23">
        <v>3.4522712143930399</v>
      </c>
      <c r="B23">
        <v>0.53810490705693204</v>
      </c>
      <c r="C23">
        <v>5.2669634061180499</v>
      </c>
      <c r="D23">
        <v>0.63612708634266402</v>
      </c>
      <c r="E23">
        <v>34.955600954785297</v>
      </c>
      <c r="F23">
        <v>0.265888063863296</v>
      </c>
      <c r="G23">
        <v>9.0570840859525195</v>
      </c>
      <c r="H23">
        <v>0.70056258253855197</v>
      </c>
      <c r="I23">
        <v>0.54033880761943098</v>
      </c>
      <c r="J23">
        <v>0.427848483767022</v>
      </c>
      <c r="K23">
        <v>8.2338706469030107</v>
      </c>
      <c r="L23">
        <v>0.68396042664678303</v>
      </c>
      <c r="M23">
        <v>1.5678683096175901</v>
      </c>
      <c r="N23">
        <v>0.40890239240967002</v>
      </c>
      <c r="O23" s="2">
        <v>1000</v>
      </c>
      <c r="P23" s="2">
        <v>0</v>
      </c>
      <c r="Q23" s="1">
        <v>0</v>
      </c>
    </row>
    <row r="24" spans="1:17" x14ac:dyDescent="0.25">
      <c r="A24">
        <v>3.79749833583231</v>
      </c>
      <c r="B24">
        <v>0.57949759221514796</v>
      </c>
      <c r="C24">
        <v>5.4752258902793098</v>
      </c>
      <c r="D24">
        <v>0.659006408743391</v>
      </c>
      <c r="E24">
        <v>20.982943326717599</v>
      </c>
      <c r="F24">
        <v>0.26080629389719701</v>
      </c>
      <c r="G24">
        <v>9.9680622224579292</v>
      </c>
      <c r="H24">
        <v>0.74419205679603695</v>
      </c>
      <c r="I24">
        <v>0.58755585115859299</v>
      </c>
      <c r="J24">
        <v>0.43760859999789398</v>
      </c>
      <c r="K24">
        <v>9.0356144545788908</v>
      </c>
      <c r="L24">
        <v>0.72626779945576103</v>
      </c>
      <c r="M24">
        <v>1.7590514793741201</v>
      </c>
      <c r="N24">
        <v>0.41750769042018798</v>
      </c>
      <c r="O24" s="2">
        <v>1000</v>
      </c>
      <c r="P24" s="2">
        <v>0</v>
      </c>
      <c r="Q24" s="1">
        <v>0</v>
      </c>
    </row>
    <row r="25" spans="1:17" x14ac:dyDescent="0.25">
      <c r="A25">
        <v>4.1772481694156403</v>
      </c>
      <c r="B25">
        <v>0.62089027737336999</v>
      </c>
      <c r="C25">
        <v>5.8605292699518596</v>
      </c>
      <c r="D25">
        <v>0.69381468030311999</v>
      </c>
      <c r="E25">
        <v>21.534166708562999</v>
      </c>
      <c r="F25">
        <v>0.25219520156728098</v>
      </c>
      <c r="G25">
        <v>11.0881429261423</v>
      </c>
      <c r="H25">
        <v>0.79571306834092903</v>
      </c>
      <c r="I25">
        <v>0.64321966019041299</v>
      </c>
      <c r="J25">
        <v>0.44392230245915698</v>
      </c>
      <c r="K25">
        <v>10.014968586662199</v>
      </c>
      <c r="L25">
        <v>0.77590287711619499</v>
      </c>
      <c r="M25">
        <v>2.0014056498838699</v>
      </c>
      <c r="N25">
        <v>0.42264926666859298</v>
      </c>
      <c r="O25" s="2">
        <v>1000</v>
      </c>
      <c r="P25" s="2">
        <v>0</v>
      </c>
      <c r="Q25" s="1">
        <v>0</v>
      </c>
    </row>
    <row r="26" spans="1:17" x14ac:dyDescent="0.25">
      <c r="A26">
        <v>4.5949729863572504</v>
      </c>
      <c r="B26">
        <v>0.66228296253159202</v>
      </c>
      <c r="C26">
        <v>6.2428058747105002</v>
      </c>
      <c r="D26">
        <v>0.71979348834748302</v>
      </c>
      <c r="E26">
        <v>24.552925953340399</v>
      </c>
      <c r="F26">
        <v>0.25784063409039099</v>
      </c>
      <c r="G26">
        <v>11.8545866393731</v>
      </c>
      <c r="H26">
        <v>0.82912085522697598</v>
      </c>
      <c r="I26">
        <v>0.68042953812002305</v>
      </c>
      <c r="J26">
        <v>0.44790886831605697</v>
      </c>
      <c r="K26">
        <v>10.684901842041</v>
      </c>
      <c r="L26">
        <v>0.80806859221948701</v>
      </c>
      <c r="M26">
        <v>2.1666913778363099</v>
      </c>
      <c r="N26">
        <v>0.42591612727418798</v>
      </c>
      <c r="O26" s="2">
        <v>1000</v>
      </c>
      <c r="P26" s="2">
        <v>0</v>
      </c>
      <c r="Q26" s="1">
        <v>0</v>
      </c>
    </row>
    <row r="27" spans="1:17" x14ac:dyDescent="0.25">
      <c r="A27">
        <v>5.0544702849929299</v>
      </c>
      <c r="B27">
        <v>0.70367564768981405</v>
      </c>
      <c r="C27">
        <v>6.2968889524373397</v>
      </c>
      <c r="D27">
        <v>0.72935159791136495</v>
      </c>
      <c r="E27">
        <v>35.826716187562802</v>
      </c>
      <c r="F27">
        <v>0.24966469150992099</v>
      </c>
      <c r="G27">
        <v>12.8470619405159</v>
      </c>
      <c r="H27">
        <v>0.86211068601634999</v>
      </c>
      <c r="I27">
        <v>0.72097319259470405</v>
      </c>
      <c r="J27">
        <v>0.461379710367678</v>
      </c>
      <c r="K27">
        <v>11.538444574703799</v>
      </c>
      <c r="L27">
        <v>0.83911835424387704</v>
      </c>
      <c r="M27">
        <v>2.3942988996432599</v>
      </c>
      <c r="N27">
        <v>0.43873810285047998</v>
      </c>
      <c r="O27" s="2">
        <v>1000</v>
      </c>
      <c r="P27" s="2">
        <v>0</v>
      </c>
      <c r="Q27" s="1">
        <v>0</v>
      </c>
    </row>
    <row r="28" spans="1:17" x14ac:dyDescent="0.25">
      <c r="A28">
        <v>5.5599173134923303</v>
      </c>
      <c r="B28">
        <v>0.74506833284806095</v>
      </c>
      <c r="C28">
        <v>6.53063435973786</v>
      </c>
      <c r="D28">
        <v>0.74372789154613805</v>
      </c>
      <c r="E28">
        <v>32.6640413059881</v>
      </c>
      <c r="F28">
        <v>0.24776421868849499</v>
      </c>
      <c r="G28">
        <v>13.647278932516601</v>
      </c>
      <c r="H28">
        <v>0.90158332081164005</v>
      </c>
      <c r="I28">
        <v>0.763438236439694</v>
      </c>
      <c r="J28">
        <v>0.45509221231244901</v>
      </c>
      <c r="K28">
        <v>12.2443347149103</v>
      </c>
      <c r="L28">
        <v>0.87728585874780796</v>
      </c>
      <c r="M28">
        <v>2.5592558816878999</v>
      </c>
      <c r="N28">
        <v>0.43207803068244299</v>
      </c>
      <c r="O28" s="2">
        <v>1000</v>
      </c>
      <c r="P28" s="2">
        <v>0</v>
      </c>
      <c r="Q28" s="1">
        <v>0</v>
      </c>
    </row>
    <row r="29" spans="1:17" x14ac:dyDescent="0.25">
      <c r="A29">
        <v>6.1159090448415396</v>
      </c>
      <c r="B29">
        <v>0.78646101800628598</v>
      </c>
      <c r="C29">
        <v>6.6743489986613396</v>
      </c>
      <c r="D29">
        <v>0.75209156249937903</v>
      </c>
      <c r="E29">
        <v>37.7269895568583</v>
      </c>
      <c r="F29">
        <v>0.24918400635034299</v>
      </c>
      <c r="G29">
        <v>14.051940036796401</v>
      </c>
      <c r="H29">
        <v>0.91231743790389197</v>
      </c>
      <c r="I29">
        <v>0.77746309815681303</v>
      </c>
      <c r="J29">
        <v>0.46107053900737899</v>
      </c>
      <c r="K29">
        <v>12.5875881896125</v>
      </c>
      <c r="L29">
        <v>0.88734668039815801</v>
      </c>
      <c r="M29">
        <v>2.6590465376034</v>
      </c>
      <c r="N29">
        <v>0.43755894023986303</v>
      </c>
      <c r="O29" s="2">
        <v>1000</v>
      </c>
      <c r="P29" s="2">
        <v>0</v>
      </c>
      <c r="Q29" s="1">
        <v>0</v>
      </c>
    </row>
    <row r="30" spans="1:17" x14ac:dyDescent="0.25">
      <c r="A30">
        <v>6.7274999493256402</v>
      </c>
      <c r="B30">
        <v>0.82785370316449203</v>
      </c>
      <c r="C30">
        <v>6.8394628205919998</v>
      </c>
      <c r="D30">
        <v>0.76159621998861204</v>
      </c>
      <c r="E30">
        <v>48.904283169783497</v>
      </c>
      <c r="F30">
        <v>0.25285706540251102</v>
      </c>
      <c r="G30">
        <v>13.9994442893053</v>
      </c>
      <c r="H30">
        <v>0.91655978197527699</v>
      </c>
      <c r="I30">
        <v>0.77970438811312603</v>
      </c>
      <c r="J30">
        <v>0.45284380735673602</v>
      </c>
      <c r="K30">
        <v>12.549885494702799</v>
      </c>
      <c r="L30">
        <v>0.89181649060602197</v>
      </c>
      <c r="M30">
        <v>2.63970995100274</v>
      </c>
      <c r="N30">
        <v>0.42928374792856999</v>
      </c>
      <c r="O30" s="2">
        <v>1000</v>
      </c>
      <c r="P30" s="2">
        <v>0</v>
      </c>
      <c r="Q30" s="1">
        <v>0</v>
      </c>
    </row>
    <row r="31" spans="1:17" x14ac:dyDescent="0.25">
      <c r="A31">
        <v>7.4002499442583201</v>
      </c>
      <c r="B31">
        <v>0.86924638832272205</v>
      </c>
      <c r="C31">
        <v>7.1725376623355404</v>
      </c>
      <c r="D31">
        <v>0.78834326094257501</v>
      </c>
      <c r="E31">
        <v>35.0289365314121</v>
      </c>
      <c r="F31">
        <v>0.24718505359840201</v>
      </c>
      <c r="G31">
        <v>15.106260276170101</v>
      </c>
      <c r="H31">
        <v>0.95730781069646997</v>
      </c>
      <c r="I31">
        <v>0.82823148135225699</v>
      </c>
      <c r="J31">
        <v>0.45603238716343703</v>
      </c>
      <c r="K31">
        <v>13.5087833570595</v>
      </c>
      <c r="L31">
        <v>0.93056559196445499</v>
      </c>
      <c r="M31">
        <v>2.8858842028012801</v>
      </c>
      <c r="N31">
        <v>0.43206838949876603</v>
      </c>
      <c r="O31" s="2">
        <v>1000</v>
      </c>
      <c r="P31" s="2">
        <v>0</v>
      </c>
      <c r="Q31" s="1">
        <v>0</v>
      </c>
    </row>
    <row r="32" spans="1:17" x14ac:dyDescent="0.25">
      <c r="A32">
        <v>8.1402749386841204</v>
      </c>
      <c r="B32">
        <v>0.91063907348097095</v>
      </c>
      <c r="C32">
        <v>7.40892067923222</v>
      </c>
      <c r="D32">
        <v>0.81127760288637996</v>
      </c>
      <c r="E32">
        <v>31.711644972558801</v>
      </c>
      <c r="F32">
        <v>0.23464974619051401</v>
      </c>
      <c r="G32">
        <v>16.159190234862798</v>
      </c>
      <c r="H32">
        <v>0.99337401361372002</v>
      </c>
      <c r="I32">
        <v>0.87184223261565696</v>
      </c>
      <c r="J32">
        <v>0.45837073002492501</v>
      </c>
      <c r="K32">
        <v>14.415475246846</v>
      </c>
      <c r="L32">
        <v>0.96472010527032404</v>
      </c>
      <c r="M32">
        <v>3.1273200249992201</v>
      </c>
      <c r="N32">
        <v>0.43401932496823498</v>
      </c>
      <c r="O32" s="2">
        <v>1000</v>
      </c>
      <c r="P32" s="2">
        <v>0</v>
      </c>
      <c r="Q32" s="1">
        <v>0</v>
      </c>
    </row>
    <row r="33" spans="1:17" x14ac:dyDescent="0.25">
      <c r="A33">
        <v>8.9543024325522893</v>
      </c>
      <c r="B33">
        <v>0.95203175863915301</v>
      </c>
      <c r="C33">
        <v>7.3354490831210297</v>
      </c>
      <c r="D33">
        <v>0.81073183046194697</v>
      </c>
      <c r="E33">
        <v>34.4021982134797</v>
      </c>
      <c r="F33">
        <v>0.22335957683791699</v>
      </c>
      <c r="G33">
        <v>15.8579019480693</v>
      </c>
      <c r="H33">
        <v>0.986589850705481</v>
      </c>
      <c r="I33">
        <v>0.86206101877908103</v>
      </c>
      <c r="J33">
        <v>0.45307235129079299</v>
      </c>
      <c r="K33">
        <v>14.1608181301558</v>
      </c>
      <c r="L33">
        <v>0.95855079581407299</v>
      </c>
      <c r="M33">
        <v>3.0532470943903101</v>
      </c>
      <c r="N33">
        <v>0.42878572406818199</v>
      </c>
      <c r="O33" s="2">
        <v>1000</v>
      </c>
      <c r="P33" s="2">
        <v>0</v>
      </c>
      <c r="Q33" s="1">
        <v>0</v>
      </c>
    </row>
    <row r="34" spans="1:17" x14ac:dyDescent="0.25">
      <c r="A34">
        <v>9.8497326758077506</v>
      </c>
      <c r="B34">
        <v>0.99342444379738704</v>
      </c>
      <c r="C34">
        <v>7.2477121856792603</v>
      </c>
      <c r="D34">
        <v>0.80975872979636399</v>
      </c>
      <c r="E34">
        <v>31.363510888562601</v>
      </c>
      <c r="F34">
        <v>0.21226178587007599</v>
      </c>
      <c r="G34">
        <v>16.726745215330499</v>
      </c>
      <c r="H34">
        <v>1.01608176566432</v>
      </c>
      <c r="I34">
        <v>0.89758950466769305</v>
      </c>
      <c r="J34">
        <v>0.45313501180705901</v>
      </c>
      <c r="K34">
        <v>14.9075723260279</v>
      </c>
      <c r="L34">
        <v>0.98645411397721205</v>
      </c>
      <c r="M34">
        <v>3.2545437406399702</v>
      </c>
      <c r="N34">
        <v>0.42855353703004301</v>
      </c>
      <c r="O34" s="2">
        <v>1000</v>
      </c>
      <c r="P34" s="2">
        <v>0</v>
      </c>
      <c r="Q34" s="1">
        <v>0</v>
      </c>
    </row>
    <row r="36" spans="1:17" x14ac:dyDescent="0.25">
      <c r="A36" s="1" t="s">
        <v>8</v>
      </c>
      <c r="B36" s="1" t="s">
        <v>25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26</v>
      </c>
      <c r="H36" s="1" t="s">
        <v>27</v>
      </c>
      <c r="I36" s="1" t="s">
        <v>28</v>
      </c>
      <c r="J36" s="1" t="s">
        <v>29</v>
      </c>
      <c r="K36" s="1" t="s">
        <v>30</v>
      </c>
      <c r="L36" s="1" t="s">
        <v>31</v>
      </c>
      <c r="M36" s="1" t="s">
        <v>32</v>
      </c>
      <c r="N36" s="1" t="s">
        <v>33</v>
      </c>
      <c r="O36" s="1" t="s">
        <v>34</v>
      </c>
      <c r="P36" s="1" t="s">
        <v>35</v>
      </c>
    </row>
    <row r="37" spans="1:17" x14ac:dyDescent="0.25">
      <c r="A37" s="1">
        <f>$B11</f>
        <v>4.1392685158224501E-2</v>
      </c>
      <c r="B37" s="1">
        <f>$D11</f>
        <v>5.0946802181494E-2</v>
      </c>
      <c r="C37" s="1">
        <f t="shared" ref="C37:C60" si="0">B37-$E11</f>
        <v>5.0930436811826331E-2</v>
      </c>
      <c r="D37" s="1">
        <f t="shared" ref="D37:D60" si="1">B37+$E11</f>
        <v>5.0963167551161669E-2</v>
      </c>
      <c r="E37" s="1">
        <f>$B37-$F11</f>
        <v>3.79552543219858E-2</v>
      </c>
      <c r="F37" s="1">
        <f>$B37+$F11</f>
        <v>6.3938350041002207E-2</v>
      </c>
      <c r="G37" s="1">
        <f>$H11</f>
        <v>5.0960089669102898E-2</v>
      </c>
      <c r="H37" s="1">
        <f>$G37-$I11</f>
        <v>4.1372042693950117E-2</v>
      </c>
      <c r="I37" s="1">
        <f>$G37+$I11</f>
        <v>6.0548136644255679E-2</v>
      </c>
      <c r="J37" s="1">
        <f>$G37-$J11</f>
        <v>3.80639759729577E-2</v>
      </c>
      <c r="K37" s="1">
        <f>$G37+$J11</f>
        <v>6.3856203365248096E-2</v>
      </c>
      <c r="L37" s="1">
        <f>$L11</f>
        <v>5.5052271260438698E-2</v>
      </c>
      <c r="M37" s="1">
        <f>$L37-$M11</f>
        <v>4.4046677395684797E-2</v>
      </c>
      <c r="N37" s="1">
        <f>$L37+$M11</f>
        <v>6.60578651251926E-2</v>
      </c>
      <c r="O37" s="1">
        <f>$L37-$N11</f>
        <v>3.5230000655747495E-2</v>
      </c>
      <c r="P37" s="1">
        <f>$L37+$N11</f>
        <v>7.4874541865129901E-2</v>
      </c>
    </row>
    <row r="38" spans="1:17" x14ac:dyDescent="0.25">
      <c r="A38" s="1">
        <f t="shared" ref="A38:A60" si="2">$B12</f>
        <v>8.2785370316449003E-2</v>
      </c>
      <c r="B38" s="1">
        <f t="shared" ref="B38:B60" si="3">$D12</f>
        <v>0.101014496976</v>
      </c>
      <c r="C38" s="1">
        <f t="shared" si="0"/>
        <v>0.10092200091070319</v>
      </c>
      <c r="D38" s="1">
        <f t="shared" si="1"/>
        <v>0.10110699304129681</v>
      </c>
      <c r="E38" s="1">
        <f t="shared" ref="E38:E60" si="4">$B38-$F12</f>
        <v>6.6310068547594192E-2</v>
      </c>
      <c r="F38" s="1">
        <f t="shared" ref="F38:F60" si="5">$B38+$F12</f>
        <v>0.1357189254044058</v>
      </c>
      <c r="G38" s="1">
        <f t="shared" ref="G38:G60" si="6">$H12</f>
        <v>0.100959204193485</v>
      </c>
      <c r="H38" s="1">
        <f t="shared" ref="H38:H60" si="7">$G38-$I12</f>
        <v>7.3795648730953095E-2</v>
      </c>
      <c r="I38" s="1">
        <f t="shared" ref="I38:I60" si="8">$G38+$I12</f>
        <v>0.12812275965601691</v>
      </c>
      <c r="J38" s="1">
        <f t="shared" ref="J38:J60" si="9">$G38-$J12</f>
        <v>6.7171748941617593E-2</v>
      </c>
      <c r="K38" s="1">
        <f t="shared" ref="K38:K60" si="10">$G38+$J12</f>
        <v>0.13474665944535241</v>
      </c>
      <c r="L38" s="1">
        <f t="shared" ref="L38:L60" si="11">$L12</f>
        <v>0.10646198622695301</v>
      </c>
      <c r="M38" s="1">
        <f t="shared" ref="M38:M60" si="12">$L38-$M12</f>
        <v>7.7153297106897209E-2</v>
      </c>
      <c r="N38" s="1">
        <f t="shared" ref="N38:N60" si="13">$L38+$M12</f>
        <v>0.13577067534700882</v>
      </c>
      <c r="O38" s="1">
        <f t="shared" ref="O38:O60" si="14">$L38-$N12</f>
        <v>7.1941590838233108E-2</v>
      </c>
      <c r="P38" s="1">
        <f t="shared" ref="P38:P60" si="15">$L38+$N12</f>
        <v>0.14098238161567289</v>
      </c>
    </row>
    <row r="39" spans="1:17" x14ac:dyDescent="0.25">
      <c r="A39" s="1">
        <f t="shared" si="2"/>
        <v>0.124178055474673</v>
      </c>
      <c r="B39" s="1">
        <f t="shared" si="3"/>
        <v>0.14953373522729699</v>
      </c>
      <c r="C39" s="1">
        <f t="shared" si="0"/>
        <v>0.13051141357072418</v>
      </c>
      <c r="D39" s="1">
        <f t="shared" si="1"/>
        <v>0.16855605688386979</v>
      </c>
      <c r="E39" s="1">
        <f t="shared" si="4"/>
        <v>8.2388486410501394E-2</v>
      </c>
      <c r="F39" s="1">
        <f t="shared" si="5"/>
        <v>0.21667898404409258</v>
      </c>
      <c r="G39" s="1">
        <f t="shared" si="6"/>
        <v>0.14715835863000101</v>
      </c>
      <c r="H39" s="1">
        <f t="shared" si="7"/>
        <v>9.8575432217973213E-2</v>
      </c>
      <c r="I39" s="1">
        <f t="shared" si="8"/>
        <v>0.19574128504202881</v>
      </c>
      <c r="J39" s="1">
        <f t="shared" si="9"/>
        <v>8.678857745064171E-2</v>
      </c>
      <c r="K39" s="1">
        <f t="shared" si="10"/>
        <v>0.2075281398093603</v>
      </c>
      <c r="L39" s="1">
        <f t="shared" si="11"/>
        <v>0.150545195920464</v>
      </c>
      <c r="M39" s="1">
        <f t="shared" si="12"/>
        <v>0.10059520520171571</v>
      </c>
      <c r="N39" s="1">
        <f t="shared" si="13"/>
        <v>0.20049518663921229</v>
      </c>
      <c r="O39" s="1">
        <f t="shared" si="14"/>
        <v>9.1261357545937699E-2</v>
      </c>
      <c r="P39" s="1">
        <f t="shared" si="15"/>
        <v>0.20982903429499031</v>
      </c>
    </row>
    <row r="40" spans="1:17" x14ac:dyDescent="0.25">
      <c r="A40" s="1">
        <f t="shared" si="2"/>
        <v>0.16557074063289801</v>
      </c>
      <c r="B40" s="1">
        <f t="shared" si="3"/>
        <v>0.21954506199587101</v>
      </c>
      <c r="C40" s="1">
        <f t="shared" si="0"/>
        <v>-2.1630681629582982E-2</v>
      </c>
      <c r="D40" s="1">
        <f t="shared" si="1"/>
        <v>0.460720805621325</v>
      </c>
      <c r="E40" s="1">
        <f t="shared" si="4"/>
        <v>8.0405690342376018E-2</v>
      </c>
      <c r="F40" s="1">
        <f t="shared" si="5"/>
        <v>0.35868443364936597</v>
      </c>
      <c r="G40" s="1">
        <f t="shared" si="6"/>
        <v>0.20721291295734501</v>
      </c>
      <c r="H40" s="1">
        <f t="shared" si="7"/>
        <v>0.12309015365590621</v>
      </c>
      <c r="I40" s="1">
        <f t="shared" si="8"/>
        <v>0.29133567225878382</v>
      </c>
      <c r="J40" s="1">
        <f t="shared" si="9"/>
        <v>9.3850622963980002E-2</v>
      </c>
      <c r="K40" s="1">
        <f t="shared" si="10"/>
        <v>0.32057520295071001</v>
      </c>
      <c r="L40" s="1">
        <f t="shared" si="11"/>
        <v>0.20837092703380999</v>
      </c>
      <c r="M40" s="1">
        <f t="shared" si="12"/>
        <v>0.11900833050351149</v>
      </c>
      <c r="N40" s="1">
        <f t="shared" si="13"/>
        <v>0.29773352356410848</v>
      </c>
      <c r="O40" s="1">
        <f t="shared" si="14"/>
        <v>9.8418076197974991E-2</v>
      </c>
      <c r="P40" s="1">
        <f t="shared" si="15"/>
        <v>0.318323777869645</v>
      </c>
    </row>
    <row r="41" spans="1:17" x14ac:dyDescent="0.25">
      <c r="A41" s="1">
        <f t="shared" si="2"/>
        <v>0.20696342579112301</v>
      </c>
      <c r="B41" s="1">
        <f t="shared" si="3"/>
        <v>0.285214893709757</v>
      </c>
      <c r="C41" s="1">
        <f t="shared" si="0"/>
        <v>-0.59517153236785303</v>
      </c>
      <c r="D41" s="1">
        <f t="shared" si="1"/>
        <v>1.1656013197873669</v>
      </c>
      <c r="E41" s="1">
        <f t="shared" si="4"/>
        <v>0.10581299511533301</v>
      </c>
      <c r="F41" s="1">
        <f t="shared" si="5"/>
        <v>0.46461679230418096</v>
      </c>
      <c r="G41" s="1">
        <f t="shared" si="6"/>
        <v>0.268427759365713</v>
      </c>
      <c r="H41" s="1">
        <f t="shared" si="7"/>
        <v>0.140385856338099</v>
      </c>
      <c r="I41" s="1">
        <f t="shared" si="8"/>
        <v>0.39646966239332704</v>
      </c>
      <c r="J41" s="1">
        <f t="shared" si="9"/>
        <v>9.1980503532584995E-2</v>
      </c>
      <c r="K41" s="1">
        <f t="shared" si="10"/>
        <v>0.44487501519884098</v>
      </c>
      <c r="L41" s="1">
        <f t="shared" si="11"/>
        <v>0.26644621383655598</v>
      </c>
      <c r="M41" s="1">
        <f t="shared" si="12"/>
        <v>8.7068050830458987E-2</v>
      </c>
      <c r="N41" s="1">
        <f t="shared" si="13"/>
        <v>0.44582437684265297</v>
      </c>
      <c r="O41" s="1">
        <f t="shared" si="14"/>
        <v>9.631777835671898E-2</v>
      </c>
      <c r="P41" s="1">
        <f t="shared" si="15"/>
        <v>0.436574649316393</v>
      </c>
    </row>
    <row r="42" spans="1:17" x14ac:dyDescent="0.25">
      <c r="A42" s="1">
        <f t="shared" si="2"/>
        <v>0.24835611094934601</v>
      </c>
      <c r="B42" s="1">
        <f t="shared" si="3"/>
        <v>0.36496398956157799</v>
      </c>
      <c r="C42" s="1">
        <f t="shared" si="0"/>
        <v>-1.307766649222152</v>
      </c>
      <c r="D42" s="1">
        <f t="shared" si="1"/>
        <v>2.0376946283453079</v>
      </c>
      <c r="E42" s="1">
        <f t="shared" si="4"/>
        <v>0.151328966355635</v>
      </c>
      <c r="F42" s="1">
        <f t="shared" si="5"/>
        <v>0.57859901276752101</v>
      </c>
      <c r="G42" s="1">
        <f t="shared" si="6"/>
        <v>0.34076340187376702</v>
      </c>
      <c r="H42" s="1">
        <f t="shared" si="7"/>
        <v>0.15680987804279703</v>
      </c>
      <c r="I42" s="1">
        <f t="shared" si="8"/>
        <v>0.52471692570473705</v>
      </c>
      <c r="J42" s="1">
        <f t="shared" si="9"/>
        <v>0.11644743018229803</v>
      </c>
      <c r="K42" s="1">
        <f t="shared" si="10"/>
        <v>0.56507937356523597</v>
      </c>
      <c r="L42" s="1">
        <f t="shared" si="11"/>
        <v>0.33594603169028098</v>
      </c>
      <c r="M42" s="1">
        <f t="shared" si="12"/>
        <v>4.9385437989201975E-2</v>
      </c>
      <c r="N42" s="1">
        <f t="shared" si="13"/>
        <v>0.62250662539136004</v>
      </c>
      <c r="O42" s="1">
        <f t="shared" si="14"/>
        <v>0.11903137173120898</v>
      </c>
      <c r="P42" s="1">
        <f t="shared" si="15"/>
        <v>0.55286069164935303</v>
      </c>
    </row>
    <row r="43" spans="1:17" x14ac:dyDescent="0.25">
      <c r="A43" s="1">
        <f t="shared" si="2"/>
        <v>0.28974879610757398</v>
      </c>
      <c r="B43" s="1">
        <f t="shared" si="3"/>
        <v>0.405582746862303</v>
      </c>
      <c r="C43" s="1">
        <f t="shared" si="0"/>
        <v>-1.1133531798288869</v>
      </c>
      <c r="D43" s="1">
        <f t="shared" si="1"/>
        <v>1.9245186735534929</v>
      </c>
      <c r="E43" s="1">
        <f t="shared" si="4"/>
        <v>0.17354992130333399</v>
      </c>
      <c r="F43" s="1">
        <f t="shared" si="5"/>
        <v>0.63761557242127198</v>
      </c>
      <c r="G43" s="1">
        <f t="shared" si="6"/>
        <v>0.38125625271156899</v>
      </c>
      <c r="H43" s="1">
        <f t="shared" si="7"/>
        <v>0.16290164889930098</v>
      </c>
      <c r="I43" s="1">
        <f t="shared" si="8"/>
        <v>0.59961085652383694</v>
      </c>
      <c r="J43" s="1">
        <f t="shared" si="9"/>
        <v>0.12933716711015097</v>
      </c>
      <c r="K43" s="1">
        <f t="shared" si="10"/>
        <v>0.633175338312987</v>
      </c>
      <c r="L43" s="1">
        <f t="shared" si="11"/>
        <v>0.37543600285698497</v>
      </c>
      <c r="M43" s="1">
        <f t="shared" si="12"/>
        <v>7.2108014153129951E-3</v>
      </c>
      <c r="N43" s="1">
        <f t="shared" si="13"/>
        <v>0.74366120429865701</v>
      </c>
      <c r="O43" s="1">
        <f t="shared" si="14"/>
        <v>0.13192470542089899</v>
      </c>
      <c r="P43" s="1">
        <f t="shared" si="15"/>
        <v>0.61894730029307099</v>
      </c>
    </row>
    <row r="44" spans="1:17" x14ac:dyDescent="0.25">
      <c r="A44" s="1">
        <f t="shared" si="2"/>
        <v>0.33114148126579601</v>
      </c>
      <c r="B44" s="1">
        <f t="shared" si="3"/>
        <v>0.48389364184193201</v>
      </c>
      <c r="C44" s="1">
        <f t="shared" si="0"/>
        <v>-6.9431308071190081</v>
      </c>
      <c r="D44" s="1">
        <f t="shared" si="1"/>
        <v>7.9109180908028716</v>
      </c>
      <c r="E44" s="1">
        <f t="shared" si="4"/>
        <v>0.224365937453671</v>
      </c>
      <c r="F44" s="1">
        <f t="shared" si="5"/>
        <v>0.74342134623019307</v>
      </c>
      <c r="G44" s="1">
        <f t="shared" si="6"/>
        <v>0.47269714765855497</v>
      </c>
      <c r="H44" s="1">
        <f t="shared" si="7"/>
        <v>0.16583121389778099</v>
      </c>
      <c r="I44" s="1">
        <f t="shared" si="8"/>
        <v>0.77956308141932895</v>
      </c>
      <c r="J44" s="1">
        <f t="shared" si="9"/>
        <v>0.14250887499495096</v>
      </c>
      <c r="K44" s="1">
        <f t="shared" si="10"/>
        <v>0.80288542032215893</v>
      </c>
      <c r="L44" s="1">
        <f t="shared" si="11"/>
        <v>0.46402234698784101</v>
      </c>
      <c r="M44" s="1">
        <f t="shared" si="12"/>
        <v>-0.20512007467314503</v>
      </c>
      <c r="N44" s="1">
        <f t="shared" si="13"/>
        <v>1.1331647686488271</v>
      </c>
      <c r="O44" s="1">
        <f t="shared" si="14"/>
        <v>0.146271210004015</v>
      </c>
      <c r="P44" s="1">
        <f t="shared" si="15"/>
        <v>0.78177348397166702</v>
      </c>
    </row>
    <row r="45" spans="1:17" x14ac:dyDescent="0.25">
      <c r="A45" s="1">
        <f t="shared" si="2"/>
        <v>0.37253416642402998</v>
      </c>
      <c r="B45" s="1">
        <f t="shared" si="3"/>
        <v>0.51833378431976496</v>
      </c>
      <c r="C45" s="1">
        <f t="shared" si="0"/>
        <v>-7.2842927075275847</v>
      </c>
      <c r="D45" s="1">
        <f t="shared" si="1"/>
        <v>8.3209602761671153</v>
      </c>
      <c r="E45" s="1">
        <f t="shared" si="4"/>
        <v>0.26209463183504594</v>
      </c>
      <c r="F45" s="1">
        <f t="shared" si="5"/>
        <v>0.77457293680448402</v>
      </c>
      <c r="G45" s="1">
        <f t="shared" si="6"/>
        <v>0.52120690755987498</v>
      </c>
      <c r="H45" s="1">
        <f t="shared" si="7"/>
        <v>0.168627161000591</v>
      </c>
      <c r="I45" s="1">
        <f t="shared" si="8"/>
        <v>0.87378665411915901</v>
      </c>
      <c r="J45" s="1">
        <f t="shared" si="9"/>
        <v>0.170780000070136</v>
      </c>
      <c r="K45" s="1">
        <f t="shared" si="10"/>
        <v>0.8716338150496139</v>
      </c>
      <c r="L45" s="1">
        <f t="shared" si="11"/>
        <v>0.510922958323624</v>
      </c>
      <c r="M45" s="1">
        <f t="shared" si="12"/>
        <v>-0.29916755392749805</v>
      </c>
      <c r="N45" s="1">
        <f t="shared" si="13"/>
        <v>1.3210134705747461</v>
      </c>
      <c r="O45" s="1">
        <f t="shared" si="14"/>
        <v>0.17388396752367302</v>
      </c>
      <c r="P45" s="1">
        <f t="shared" si="15"/>
        <v>0.84796194912357503</v>
      </c>
    </row>
    <row r="46" spans="1:17" x14ac:dyDescent="0.25">
      <c r="A46" s="1">
        <f t="shared" si="2"/>
        <v>0.41392685158224601</v>
      </c>
      <c r="B46" s="1">
        <f t="shared" si="3"/>
        <v>0.54845725410070101</v>
      </c>
      <c r="C46" s="1">
        <f t="shared" si="0"/>
        <v>-10.876969613422899</v>
      </c>
      <c r="D46" s="1">
        <f t="shared" si="1"/>
        <v>11.9738841216243</v>
      </c>
      <c r="E46" s="1">
        <f t="shared" si="4"/>
        <v>0.28485837533368802</v>
      </c>
      <c r="F46" s="1">
        <f t="shared" si="5"/>
        <v>0.81205613286771405</v>
      </c>
      <c r="G46" s="1">
        <f t="shared" si="6"/>
        <v>0.55292846527764095</v>
      </c>
      <c r="H46" s="1">
        <f t="shared" si="7"/>
        <v>0.17016117243718992</v>
      </c>
      <c r="I46" s="1">
        <f t="shared" si="8"/>
        <v>0.93569575811809202</v>
      </c>
      <c r="J46" s="1">
        <f t="shared" si="9"/>
        <v>0.19226019667227495</v>
      </c>
      <c r="K46" s="1">
        <f t="shared" si="10"/>
        <v>0.91359673388300688</v>
      </c>
      <c r="L46" s="1">
        <f t="shared" si="11"/>
        <v>0.54184509350449395</v>
      </c>
      <c r="M46" s="1">
        <f t="shared" si="12"/>
        <v>-0.362115319859867</v>
      </c>
      <c r="N46" s="1">
        <f t="shared" si="13"/>
        <v>1.4458055068688549</v>
      </c>
      <c r="O46" s="1">
        <f t="shared" si="14"/>
        <v>0.19535175425952195</v>
      </c>
      <c r="P46" s="1">
        <f t="shared" si="15"/>
        <v>0.88833843274946589</v>
      </c>
    </row>
    <row r="47" spans="1:17" x14ac:dyDescent="0.25">
      <c r="A47" s="1">
        <f t="shared" si="2"/>
        <v>0.45531953674048498</v>
      </c>
      <c r="B47" s="1">
        <f t="shared" si="3"/>
        <v>0.59641631425353203</v>
      </c>
      <c r="C47" s="1">
        <f t="shared" si="0"/>
        <v>-14.236412819664968</v>
      </c>
      <c r="D47" s="1">
        <f t="shared" si="1"/>
        <v>15.429245448172031</v>
      </c>
      <c r="E47" s="1">
        <f t="shared" si="4"/>
        <v>0.32711318128342703</v>
      </c>
      <c r="F47" s="1">
        <f t="shared" si="5"/>
        <v>0.86571944722363703</v>
      </c>
      <c r="G47" s="1">
        <f t="shared" si="6"/>
        <v>0.62176799239913605</v>
      </c>
      <c r="H47" s="1">
        <f t="shared" si="7"/>
        <v>0.16667366895249103</v>
      </c>
      <c r="I47" s="1">
        <f t="shared" si="8"/>
        <v>1.0768623158457811</v>
      </c>
      <c r="J47" s="1">
        <f t="shared" si="9"/>
        <v>0.22626840360676403</v>
      </c>
      <c r="K47" s="1">
        <f t="shared" si="10"/>
        <v>1.0172675811915082</v>
      </c>
      <c r="L47" s="1">
        <f t="shared" si="11"/>
        <v>0.60841037918386798</v>
      </c>
      <c r="M47" s="1">
        <f t="shared" si="12"/>
        <v>-0.57551191526830192</v>
      </c>
      <c r="N47" s="1">
        <f t="shared" si="13"/>
        <v>1.7923326736360379</v>
      </c>
      <c r="O47" s="1">
        <f t="shared" si="14"/>
        <v>0.22935878878028998</v>
      </c>
      <c r="P47" s="1">
        <f t="shared" si="15"/>
        <v>0.98746196958744603</v>
      </c>
    </row>
    <row r="48" spans="1:17" x14ac:dyDescent="0.25">
      <c r="A48" s="1">
        <f t="shared" si="2"/>
        <v>0.49671222189869302</v>
      </c>
      <c r="B48" s="1">
        <f t="shared" si="3"/>
        <v>0.643133348615191</v>
      </c>
      <c r="C48" s="1">
        <f t="shared" si="0"/>
        <v>-24.589576056989909</v>
      </c>
      <c r="D48" s="1">
        <f t="shared" si="1"/>
        <v>25.87584275422029</v>
      </c>
      <c r="E48" s="1">
        <f t="shared" si="4"/>
        <v>0.38035726955079302</v>
      </c>
      <c r="F48" s="1">
        <f t="shared" si="5"/>
        <v>0.90590942767958893</v>
      </c>
      <c r="G48" s="1">
        <f t="shared" si="6"/>
        <v>0.67867280465139401</v>
      </c>
      <c r="H48" s="1">
        <f t="shared" si="7"/>
        <v>0.16485670917828998</v>
      </c>
      <c r="I48" s="1">
        <f t="shared" si="8"/>
        <v>1.192488900124498</v>
      </c>
      <c r="J48" s="1">
        <f t="shared" si="9"/>
        <v>0.267845826276365</v>
      </c>
      <c r="K48" s="1">
        <f t="shared" si="10"/>
        <v>1.089499783026423</v>
      </c>
      <c r="L48" s="1">
        <f t="shared" si="11"/>
        <v>0.66342605607295102</v>
      </c>
      <c r="M48" s="1">
        <f t="shared" si="12"/>
        <v>-0.74963404486376906</v>
      </c>
      <c r="N48" s="1">
        <f t="shared" si="13"/>
        <v>2.0764861570096711</v>
      </c>
      <c r="O48" s="1">
        <f t="shared" si="14"/>
        <v>0.27055358897580001</v>
      </c>
      <c r="P48" s="1">
        <f t="shared" si="15"/>
        <v>1.0562985231701021</v>
      </c>
    </row>
    <row r="49" spans="1:16" x14ac:dyDescent="0.25">
      <c r="A49" s="1">
        <f t="shared" si="2"/>
        <v>0.53810490705693204</v>
      </c>
      <c r="B49" s="1">
        <f t="shared" si="3"/>
        <v>0.63612708634266402</v>
      </c>
      <c r="C49" s="1">
        <f t="shared" si="0"/>
        <v>-34.319473868442635</v>
      </c>
      <c r="D49" s="1">
        <f t="shared" si="1"/>
        <v>35.591728041127958</v>
      </c>
      <c r="E49" s="1">
        <f t="shared" si="4"/>
        <v>0.37023902247936802</v>
      </c>
      <c r="F49" s="1">
        <f t="shared" si="5"/>
        <v>0.90201515020596001</v>
      </c>
      <c r="G49" s="1">
        <f t="shared" si="6"/>
        <v>0.70056258253855197</v>
      </c>
      <c r="H49" s="1">
        <f t="shared" si="7"/>
        <v>0.16022377491912099</v>
      </c>
      <c r="I49" s="1">
        <f t="shared" si="8"/>
        <v>1.2409013901579828</v>
      </c>
      <c r="J49" s="1">
        <f t="shared" si="9"/>
        <v>0.27271409877152997</v>
      </c>
      <c r="K49" s="1">
        <f t="shared" si="10"/>
        <v>1.128411066305574</v>
      </c>
      <c r="L49" s="1">
        <f t="shared" si="11"/>
        <v>0.68396042664678303</v>
      </c>
      <c r="M49" s="1">
        <f t="shared" si="12"/>
        <v>-0.88390788297080702</v>
      </c>
      <c r="N49" s="1">
        <f t="shared" si="13"/>
        <v>2.2518287362643732</v>
      </c>
      <c r="O49" s="1">
        <f t="shared" si="14"/>
        <v>0.275058034237113</v>
      </c>
      <c r="P49" s="1">
        <f t="shared" si="15"/>
        <v>1.0928628190564531</v>
      </c>
    </row>
    <row r="50" spans="1:16" x14ac:dyDescent="0.25">
      <c r="A50" s="1">
        <f t="shared" si="2"/>
        <v>0.57949759221514796</v>
      </c>
      <c r="B50" s="1">
        <f t="shared" si="3"/>
        <v>0.659006408743391</v>
      </c>
      <c r="C50" s="1">
        <f t="shared" si="0"/>
        <v>-20.323936917974208</v>
      </c>
      <c r="D50" s="1">
        <f t="shared" si="1"/>
        <v>21.64194973546099</v>
      </c>
      <c r="E50" s="1">
        <f t="shared" si="4"/>
        <v>0.398200114846194</v>
      </c>
      <c r="F50" s="1">
        <f t="shared" si="5"/>
        <v>0.91981270264058801</v>
      </c>
      <c r="G50" s="1">
        <f t="shared" si="6"/>
        <v>0.74419205679603695</v>
      </c>
      <c r="H50" s="1">
        <f t="shared" si="7"/>
        <v>0.15663620563744396</v>
      </c>
      <c r="I50" s="1">
        <f t="shared" si="8"/>
        <v>1.3317479079546299</v>
      </c>
      <c r="J50" s="1">
        <f t="shared" si="9"/>
        <v>0.30658345679814297</v>
      </c>
      <c r="K50" s="1">
        <f t="shared" si="10"/>
        <v>1.181800656793931</v>
      </c>
      <c r="L50" s="1">
        <f t="shared" si="11"/>
        <v>0.72626779945576103</v>
      </c>
      <c r="M50" s="1">
        <f t="shared" si="12"/>
        <v>-1.0327836799183592</v>
      </c>
      <c r="N50" s="1">
        <f t="shared" si="13"/>
        <v>2.485319278829881</v>
      </c>
      <c r="O50" s="1">
        <f t="shared" si="14"/>
        <v>0.30876010903557305</v>
      </c>
      <c r="P50" s="1">
        <f t="shared" si="15"/>
        <v>1.1437754898759489</v>
      </c>
    </row>
    <row r="51" spans="1:16" x14ac:dyDescent="0.25">
      <c r="A51" s="1">
        <f t="shared" si="2"/>
        <v>0.62089027737336999</v>
      </c>
      <c r="B51" s="1">
        <f t="shared" si="3"/>
        <v>0.69381468030311999</v>
      </c>
      <c r="C51" s="1">
        <f t="shared" si="0"/>
        <v>-20.840352028259879</v>
      </c>
      <c r="D51" s="1">
        <f t="shared" si="1"/>
        <v>22.22798138886612</v>
      </c>
      <c r="E51" s="1">
        <f t="shared" si="4"/>
        <v>0.44161947873583901</v>
      </c>
      <c r="F51" s="1">
        <f t="shared" si="5"/>
        <v>0.94600988187040103</v>
      </c>
      <c r="G51" s="1">
        <f t="shared" si="6"/>
        <v>0.79571306834092903</v>
      </c>
      <c r="H51" s="1">
        <f t="shared" si="7"/>
        <v>0.15249340815051604</v>
      </c>
      <c r="I51" s="1">
        <f t="shared" si="8"/>
        <v>1.438932728531342</v>
      </c>
      <c r="J51" s="1">
        <f t="shared" si="9"/>
        <v>0.35179076588177205</v>
      </c>
      <c r="K51" s="1">
        <f t="shared" si="10"/>
        <v>1.239635370800086</v>
      </c>
      <c r="L51" s="1">
        <f t="shared" si="11"/>
        <v>0.77590287711619499</v>
      </c>
      <c r="M51" s="1">
        <f t="shared" si="12"/>
        <v>-1.2255027727676748</v>
      </c>
      <c r="N51" s="1">
        <f t="shared" si="13"/>
        <v>2.777308527000065</v>
      </c>
      <c r="O51" s="1">
        <f t="shared" si="14"/>
        <v>0.35325361044760201</v>
      </c>
      <c r="P51" s="1">
        <f t="shared" si="15"/>
        <v>1.1985521437847879</v>
      </c>
    </row>
    <row r="52" spans="1:16" x14ac:dyDescent="0.25">
      <c r="A52" s="1">
        <f t="shared" si="2"/>
        <v>0.66228296253159202</v>
      </c>
      <c r="B52" s="1">
        <f t="shared" si="3"/>
        <v>0.71979348834748302</v>
      </c>
      <c r="C52" s="1">
        <f t="shared" si="0"/>
        <v>-23.833132464992914</v>
      </c>
      <c r="D52" s="1">
        <f t="shared" si="1"/>
        <v>25.272719441687883</v>
      </c>
      <c r="E52" s="1">
        <f t="shared" si="4"/>
        <v>0.46195285425709204</v>
      </c>
      <c r="F52" s="1">
        <f t="shared" si="5"/>
        <v>0.97763412243787395</v>
      </c>
      <c r="G52" s="1">
        <f t="shared" si="6"/>
        <v>0.82912085522697598</v>
      </c>
      <c r="H52" s="1">
        <f t="shared" si="7"/>
        <v>0.14869131710695294</v>
      </c>
      <c r="I52" s="1">
        <f t="shared" si="8"/>
        <v>1.5095503933469989</v>
      </c>
      <c r="J52" s="1">
        <f t="shared" si="9"/>
        <v>0.38121198691091901</v>
      </c>
      <c r="K52" s="1">
        <f t="shared" si="10"/>
        <v>1.277029723543033</v>
      </c>
      <c r="L52" s="1">
        <f t="shared" si="11"/>
        <v>0.80806859221948701</v>
      </c>
      <c r="M52" s="1">
        <f t="shared" si="12"/>
        <v>-1.3586227856168229</v>
      </c>
      <c r="N52" s="1">
        <f t="shared" si="13"/>
        <v>2.9747599700557972</v>
      </c>
      <c r="O52" s="1">
        <f t="shared" si="14"/>
        <v>0.38215246494529903</v>
      </c>
      <c r="P52" s="1">
        <f t="shared" si="15"/>
        <v>1.2339847194936751</v>
      </c>
    </row>
    <row r="53" spans="1:16" x14ac:dyDescent="0.25">
      <c r="A53" s="1">
        <f t="shared" si="2"/>
        <v>0.70367564768981405</v>
      </c>
      <c r="B53" s="1">
        <f t="shared" si="3"/>
        <v>0.72935159791136495</v>
      </c>
      <c r="C53" s="1">
        <f t="shared" si="0"/>
        <v>-35.097364589651434</v>
      </c>
      <c r="D53" s="1">
        <f t="shared" si="1"/>
        <v>36.55606778547417</v>
      </c>
      <c r="E53" s="1">
        <f t="shared" si="4"/>
        <v>0.47968690640144396</v>
      </c>
      <c r="F53" s="1">
        <f t="shared" si="5"/>
        <v>0.97901628942128593</v>
      </c>
      <c r="G53" s="1">
        <f t="shared" si="6"/>
        <v>0.86211068601634999</v>
      </c>
      <c r="H53" s="1">
        <f t="shared" si="7"/>
        <v>0.14113749342164594</v>
      </c>
      <c r="I53" s="1">
        <f t="shared" si="8"/>
        <v>1.5830838786110539</v>
      </c>
      <c r="J53" s="1">
        <f t="shared" si="9"/>
        <v>0.40073097564867199</v>
      </c>
      <c r="K53" s="1">
        <f t="shared" si="10"/>
        <v>1.3234903963840279</v>
      </c>
      <c r="L53" s="1">
        <f t="shared" si="11"/>
        <v>0.83911835424387704</v>
      </c>
      <c r="M53" s="1">
        <f t="shared" si="12"/>
        <v>-1.555180545399383</v>
      </c>
      <c r="N53" s="1">
        <f t="shared" si="13"/>
        <v>3.2334172538871369</v>
      </c>
      <c r="O53" s="1">
        <f t="shared" si="14"/>
        <v>0.40038025139339706</v>
      </c>
      <c r="P53" s="1">
        <f t="shared" si="15"/>
        <v>1.2778564570943569</v>
      </c>
    </row>
    <row r="54" spans="1:16" x14ac:dyDescent="0.25">
      <c r="A54" s="1">
        <f t="shared" si="2"/>
        <v>0.74506833284806095</v>
      </c>
      <c r="B54" s="1">
        <f t="shared" si="3"/>
        <v>0.74372789154613805</v>
      </c>
      <c r="C54" s="1">
        <f t="shared" si="0"/>
        <v>-31.920313414441964</v>
      </c>
      <c r="D54" s="1">
        <f t="shared" si="1"/>
        <v>33.407769197534236</v>
      </c>
      <c r="E54" s="1">
        <f t="shared" si="4"/>
        <v>0.49596367285764309</v>
      </c>
      <c r="F54" s="1">
        <f t="shared" si="5"/>
        <v>0.99149211023463302</v>
      </c>
      <c r="G54" s="1">
        <f t="shared" si="6"/>
        <v>0.90158332081164005</v>
      </c>
      <c r="H54" s="1">
        <f t="shared" si="7"/>
        <v>0.13814508437194606</v>
      </c>
      <c r="I54" s="1">
        <f t="shared" si="8"/>
        <v>1.6650215572513341</v>
      </c>
      <c r="J54" s="1">
        <f t="shared" si="9"/>
        <v>0.44649110849919105</v>
      </c>
      <c r="K54" s="1">
        <f t="shared" si="10"/>
        <v>1.356675533124089</v>
      </c>
      <c r="L54" s="1">
        <f t="shared" si="11"/>
        <v>0.87728585874780796</v>
      </c>
      <c r="M54" s="1">
        <f t="shared" si="12"/>
        <v>-1.6819700229400918</v>
      </c>
      <c r="N54" s="1">
        <f t="shared" si="13"/>
        <v>3.4365417404357079</v>
      </c>
      <c r="O54" s="1">
        <f t="shared" si="14"/>
        <v>0.44520782806536496</v>
      </c>
      <c r="P54" s="1">
        <f t="shared" si="15"/>
        <v>1.3093638894302511</v>
      </c>
    </row>
    <row r="55" spans="1:16" x14ac:dyDescent="0.25">
      <c r="A55" s="1">
        <f t="shared" si="2"/>
        <v>0.78646101800628598</v>
      </c>
      <c r="B55" s="1">
        <f t="shared" si="3"/>
        <v>0.75209156249937903</v>
      </c>
      <c r="C55" s="1">
        <f t="shared" si="0"/>
        <v>-36.974897994358919</v>
      </c>
      <c r="D55" s="1">
        <f t="shared" si="1"/>
        <v>38.47908111935768</v>
      </c>
      <c r="E55" s="1">
        <f t="shared" si="4"/>
        <v>0.50290755614903604</v>
      </c>
      <c r="F55" s="1">
        <f t="shared" si="5"/>
        <v>1.0012755688497221</v>
      </c>
      <c r="G55" s="1">
        <f t="shared" si="6"/>
        <v>0.91231743790389197</v>
      </c>
      <c r="H55" s="1">
        <f t="shared" si="7"/>
        <v>0.13485433974707894</v>
      </c>
      <c r="I55" s="1">
        <f t="shared" si="8"/>
        <v>1.689780536060705</v>
      </c>
      <c r="J55" s="1">
        <f t="shared" si="9"/>
        <v>0.45124689889651298</v>
      </c>
      <c r="K55" s="1">
        <f t="shared" si="10"/>
        <v>1.3733879769112709</v>
      </c>
      <c r="L55" s="1">
        <f t="shared" si="11"/>
        <v>0.88734668039815801</v>
      </c>
      <c r="M55" s="1">
        <f t="shared" si="12"/>
        <v>-1.771699857205242</v>
      </c>
      <c r="N55" s="1">
        <f t="shared" si="13"/>
        <v>3.5463932180015583</v>
      </c>
      <c r="O55" s="1">
        <f t="shared" si="14"/>
        <v>0.44978774015829498</v>
      </c>
      <c r="P55" s="1">
        <f t="shared" si="15"/>
        <v>1.324905620638021</v>
      </c>
    </row>
    <row r="56" spans="1:16" x14ac:dyDescent="0.25">
      <c r="A56" s="1">
        <f t="shared" si="2"/>
        <v>0.82785370316449203</v>
      </c>
      <c r="B56" s="1">
        <f t="shared" si="3"/>
        <v>0.76159621998861204</v>
      </c>
      <c r="C56" s="1">
        <f t="shared" si="0"/>
        <v>-48.142686949794886</v>
      </c>
      <c r="D56" s="1">
        <f t="shared" si="1"/>
        <v>49.665879389772108</v>
      </c>
      <c r="E56" s="1">
        <f t="shared" si="4"/>
        <v>0.50873915458610108</v>
      </c>
      <c r="F56" s="1">
        <f t="shared" si="5"/>
        <v>1.014453285391123</v>
      </c>
      <c r="G56" s="1">
        <f t="shared" si="6"/>
        <v>0.91655978197527699</v>
      </c>
      <c r="H56" s="1">
        <f t="shared" si="7"/>
        <v>0.13685539386215095</v>
      </c>
      <c r="I56" s="1">
        <f t="shared" si="8"/>
        <v>1.6962641700884031</v>
      </c>
      <c r="J56" s="1">
        <f t="shared" si="9"/>
        <v>0.46371597461854097</v>
      </c>
      <c r="K56" s="1">
        <f t="shared" si="10"/>
        <v>1.3694035893320131</v>
      </c>
      <c r="L56" s="1">
        <f t="shared" si="11"/>
        <v>0.89181649060602197</v>
      </c>
      <c r="M56" s="1">
        <f t="shared" si="12"/>
        <v>-1.747893460396718</v>
      </c>
      <c r="N56" s="1">
        <f t="shared" si="13"/>
        <v>3.5315264416087619</v>
      </c>
      <c r="O56" s="1">
        <f t="shared" si="14"/>
        <v>0.46253274267745198</v>
      </c>
      <c r="P56" s="1">
        <f t="shared" si="15"/>
        <v>1.321100238534592</v>
      </c>
    </row>
    <row r="57" spans="1:16" x14ac:dyDescent="0.25">
      <c r="A57" s="1">
        <f t="shared" si="2"/>
        <v>0.86924638832272205</v>
      </c>
      <c r="B57" s="1">
        <f t="shared" si="3"/>
        <v>0.78834326094257501</v>
      </c>
      <c r="C57" s="1">
        <f t="shared" si="0"/>
        <v>-34.240593270469525</v>
      </c>
      <c r="D57" s="1">
        <f t="shared" si="1"/>
        <v>35.817279792354675</v>
      </c>
      <c r="E57" s="1">
        <f t="shared" si="4"/>
        <v>0.54115820734417297</v>
      </c>
      <c r="F57" s="1">
        <f t="shared" si="5"/>
        <v>1.035528314540977</v>
      </c>
      <c r="G57" s="1">
        <f t="shared" si="6"/>
        <v>0.95730781069646997</v>
      </c>
      <c r="H57" s="1">
        <f t="shared" si="7"/>
        <v>0.12907632934421298</v>
      </c>
      <c r="I57" s="1">
        <f t="shared" si="8"/>
        <v>1.785539292048727</v>
      </c>
      <c r="J57" s="1">
        <f t="shared" si="9"/>
        <v>0.501275423533033</v>
      </c>
      <c r="K57" s="1">
        <f t="shared" si="10"/>
        <v>1.4133401978599069</v>
      </c>
      <c r="L57" s="1">
        <f t="shared" si="11"/>
        <v>0.93056559196445499</v>
      </c>
      <c r="M57" s="1">
        <f t="shared" si="12"/>
        <v>-1.9553186108368252</v>
      </c>
      <c r="N57" s="1">
        <f t="shared" si="13"/>
        <v>3.816449794765735</v>
      </c>
      <c r="O57" s="1">
        <f t="shared" si="14"/>
        <v>0.49849720246568896</v>
      </c>
      <c r="P57" s="1">
        <f t="shared" si="15"/>
        <v>1.3626339814632211</v>
      </c>
    </row>
    <row r="58" spans="1:16" x14ac:dyDescent="0.25">
      <c r="A58" s="1">
        <f t="shared" si="2"/>
        <v>0.91063907348097095</v>
      </c>
      <c r="B58" s="1">
        <f t="shared" si="3"/>
        <v>0.81127760288637996</v>
      </c>
      <c r="C58" s="1">
        <f t="shared" si="0"/>
        <v>-30.90036736967242</v>
      </c>
      <c r="D58" s="1">
        <f t="shared" si="1"/>
        <v>32.522922575445179</v>
      </c>
      <c r="E58" s="1">
        <f t="shared" si="4"/>
        <v>0.57662785669586591</v>
      </c>
      <c r="F58" s="1">
        <f t="shared" si="5"/>
        <v>1.0459273490768939</v>
      </c>
      <c r="G58" s="1">
        <f t="shared" si="6"/>
        <v>0.99337401361372002</v>
      </c>
      <c r="H58" s="1">
        <f t="shared" si="7"/>
        <v>0.12153178099806305</v>
      </c>
      <c r="I58" s="1">
        <f t="shared" si="8"/>
        <v>1.8652162462293771</v>
      </c>
      <c r="J58" s="1">
        <f t="shared" si="9"/>
        <v>0.53500328358879501</v>
      </c>
      <c r="K58" s="1">
        <f t="shared" si="10"/>
        <v>1.451744743638645</v>
      </c>
      <c r="L58" s="1">
        <f t="shared" si="11"/>
        <v>0.96472010527032404</v>
      </c>
      <c r="M58" s="1">
        <f t="shared" si="12"/>
        <v>-2.1625999197288959</v>
      </c>
      <c r="N58" s="1">
        <f t="shared" si="13"/>
        <v>4.0920401302695444</v>
      </c>
      <c r="O58" s="1">
        <f t="shared" si="14"/>
        <v>0.53070078030208911</v>
      </c>
      <c r="P58" s="1">
        <f t="shared" si="15"/>
        <v>1.398739430238559</v>
      </c>
    </row>
    <row r="59" spans="1:16" x14ac:dyDescent="0.25">
      <c r="A59" s="1">
        <f t="shared" si="2"/>
        <v>0.95203175863915301</v>
      </c>
      <c r="B59" s="1">
        <f t="shared" si="3"/>
        <v>0.81073183046194697</v>
      </c>
      <c r="C59" s="1">
        <f t="shared" si="0"/>
        <v>-33.591466383017753</v>
      </c>
      <c r="D59" s="1">
        <f t="shared" si="1"/>
        <v>35.212930043941647</v>
      </c>
      <c r="E59" s="1">
        <f t="shared" si="4"/>
        <v>0.58737225362403001</v>
      </c>
      <c r="F59" s="1">
        <f t="shared" si="5"/>
        <v>1.0340914072998639</v>
      </c>
      <c r="G59" s="1">
        <f t="shared" si="6"/>
        <v>0.986589850705481</v>
      </c>
      <c r="H59" s="1">
        <f t="shared" si="7"/>
        <v>0.12452883192639996</v>
      </c>
      <c r="I59" s="1">
        <f t="shared" si="8"/>
        <v>1.848650869484562</v>
      </c>
      <c r="J59" s="1">
        <f t="shared" si="9"/>
        <v>0.53351749941468807</v>
      </c>
      <c r="K59" s="1">
        <f t="shared" si="10"/>
        <v>1.4396622019962739</v>
      </c>
      <c r="L59" s="1">
        <f t="shared" si="11"/>
        <v>0.95855079581407299</v>
      </c>
      <c r="M59" s="1">
        <f t="shared" si="12"/>
        <v>-2.094696298576237</v>
      </c>
      <c r="N59" s="1">
        <f t="shared" si="13"/>
        <v>4.0117978902043827</v>
      </c>
      <c r="O59" s="1">
        <f t="shared" si="14"/>
        <v>0.52976507174589105</v>
      </c>
      <c r="P59" s="1">
        <f t="shared" si="15"/>
        <v>1.3873365198822549</v>
      </c>
    </row>
    <row r="60" spans="1:16" x14ac:dyDescent="0.25">
      <c r="A60" s="1">
        <f t="shared" si="2"/>
        <v>0.99342444379738704</v>
      </c>
      <c r="B60" s="1">
        <f t="shared" si="3"/>
        <v>0.80975872979636399</v>
      </c>
      <c r="C60" s="1">
        <f t="shared" si="0"/>
        <v>-30.553752158766237</v>
      </c>
      <c r="D60" s="1">
        <f t="shared" si="1"/>
        <v>32.173269618358965</v>
      </c>
      <c r="E60" s="1">
        <f t="shared" si="4"/>
        <v>0.59749694392628805</v>
      </c>
      <c r="F60" s="1">
        <f t="shared" si="5"/>
        <v>1.0220205156664399</v>
      </c>
      <c r="G60" s="1">
        <f t="shared" si="6"/>
        <v>1.01608176566432</v>
      </c>
      <c r="H60" s="1">
        <f t="shared" si="7"/>
        <v>0.11849226099662691</v>
      </c>
      <c r="I60" s="1">
        <f t="shared" si="8"/>
        <v>1.9136712703320131</v>
      </c>
      <c r="J60" s="1">
        <f t="shared" si="9"/>
        <v>0.56294675385726101</v>
      </c>
      <c r="K60" s="1">
        <f t="shared" si="10"/>
        <v>1.4692167774713789</v>
      </c>
      <c r="L60" s="1">
        <f t="shared" si="11"/>
        <v>0.98645411397721205</v>
      </c>
      <c r="M60" s="1">
        <f t="shared" si="12"/>
        <v>-2.2680896266627579</v>
      </c>
      <c r="N60" s="1">
        <f t="shared" si="13"/>
        <v>4.2409978546171825</v>
      </c>
      <c r="O60" s="1">
        <f t="shared" si="14"/>
        <v>0.55790057694716899</v>
      </c>
      <c r="P60" s="1">
        <f t="shared" si="15"/>
        <v>1.4150076510072551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zoomScaleNormal="100" workbookViewId="0">
      <selection activeCell="A10" sqref="A10:N34"/>
    </sheetView>
  </sheetViews>
  <sheetFormatPr defaultColWidth="10.7109375" defaultRowHeight="15" x14ac:dyDescent="0.25"/>
  <cols>
    <col min="1" max="1" width="10.7109375" style="1"/>
    <col min="2" max="2" width="10.7109375" style="1" customWidth="1"/>
    <col min="3" max="16384" width="10.7109375" style="1"/>
  </cols>
  <sheetData>
    <row r="1" spans="1:17" x14ac:dyDescent="0.25">
      <c r="A1" s="1" t="s">
        <v>0</v>
      </c>
      <c r="B1" s="9">
        <v>128</v>
      </c>
      <c r="C1" s="9"/>
    </row>
    <row r="2" spans="1:17" x14ac:dyDescent="0.25">
      <c r="A2" s="1" t="s">
        <v>1</v>
      </c>
      <c r="B2" s="9">
        <v>100</v>
      </c>
      <c r="C2" s="9"/>
    </row>
    <row r="3" spans="1:17" x14ac:dyDescent="0.25">
      <c r="A3" s="1" t="s">
        <v>2</v>
      </c>
      <c r="B3" s="9">
        <v>1</v>
      </c>
      <c r="C3" s="9"/>
    </row>
    <row r="4" spans="1:17" x14ac:dyDescent="0.25">
      <c r="A4" s="1" t="s">
        <v>3</v>
      </c>
      <c r="B4" s="9">
        <v>10</v>
      </c>
      <c r="C4" s="9"/>
    </row>
    <row r="5" spans="1:17" x14ac:dyDescent="0.25">
      <c r="A5" s="1" t="s">
        <v>4</v>
      </c>
      <c r="B5" s="10">
        <v>1.1000000000000001</v>
      </c>
      <c r="C5" s="10"/>
    </row>
    <row r="6" spans="1:17" x14ac:dyDescent="0.25">
      <c r="A6" s="1" t="s">
        <v>5</v>
      </c>
      <c r="B6" s="10">
        <v>5.5100000000000003E-2</v>
      </c>
      <c r="C6" s="10"/>
    </row>
    <row r="7" spans="1:17" x14ac:dyDescent="0.25">
      <c r="A7" s="1" t="s">
        <v>6</v>
      </c>
      <c r="B7" s="8">
        <v>161803398874989</v>
      </c>
      <c r="C7" s="8"/>
    </row>
    <row r="10" spans="1:17" x14ac:dyDescent="0.25">
      <c r="A10" t="s">
        <v>7</v>
      </c>
      <c r="B10" t="s">
        <v>40</v>
      </c>
      <c r="C10" t="s">
        <v>9</v>
      </c>
      <c r="D10" t="s">
        <v>41</v>
      </c>
      <c r="E10" t="s">
        <v>11</v>
      </c>
      <c r="F10" t="s">
        <v>12</v>
      </c>
      <c r="G10" t="s">
        <v>13</v>
      </c>
      <c r="H10" t="s">
        <v>42</v>
      </c>
      <c r="I10" t="s">
        <v>15</v>
      </c>
      <c r="J10" t="s">
        <v>16</v>
      </c>
      <c r="K10" t="s">
        <v>17</v>
      </c>
      <c r="L10" t="s">
        <v>43</v>
      </c>
      <c r="M10" t="s">
        <v>19</v>
      </c>
      <c r="N10" t="s">
        <v>20</v>
      </c>
      <c r="O10" s="2" t="s">
        <v>38</v>
      </c>
      <c r="P10" s="2" t="s">
        <v>39</v>
      </c>
      <c r="Q10" s="1" t="s">
        <v>36</v>
      </c>
    </row>
    <row r="11" spans="1:17" x14ac:dyDescent="0.25">
      <c r="A11">
        <v>1.1000000000000001</v>
      </c>
      <c r="B11">
        <v>4.1392685158224501E-2</v>
      </c>
      <c r="C11">
        <v>1.1306599667432899</v>
      </c>
      <c r="D11">
        <v>5.3245972069676302E-2</v>
      </c>
      <c r="E11" s="14">
        <v>2.96108517991978E-6</v>
      </c>
      <c r="F11">
        <v>8.6270676976159203E-3</v>
      </c>
      <c r="G11">
        <v>1.13073238839109</v>
      </c>
      <c r="H11">
        <v>5.3273229351210101E-2</v>
      </c>
      <c r="I11">
        <v>7.1223917634888499E-3</v>
      </c>
      <c r="J11">
        <v>8.6543844968132808E-3</v>
      </c>
      <c r="K11">
        <v>1.14158</v>
      </c>
      <c r="L11">
        <v>5.7039120148033501E-2</v>
      </c>
      <c r="M11">
        <v>8.16691506176025E-3</v>
      </c>
      <c r="N11">
        <v>2.00808433528386E-2</v>
      </c>
      <c r="O11" s="2">
        <v>1000</v>
      </c>
      <c r="P11" s="2">
        <v>0</v>
      </c>
      <c r="Q11" s="1">
        <v>0</v>
      </c>
    </row>
    <row r="12" spans="1:17" x14ac:dyDescent="0.25">
      <c r="A12">
        <v>1.21000000000001</v>
      </c>
      <c r="B12">
        <v>8.2785370316449003E-2</v>
      </c>
      <c r="C12">
        <v>1.26060320641184</v>
      </c>
      <c r="D12">
        <v>0.100036296362148</v>
      </c>
      <c r="E12" s="14">
        <v>1.49491029559222E-5</v>
      </c>
      <c r="F12">
        <v>2.1505763394472601E-2</v>
      </c>
      <c r="G12">
        <v>1.2597997161415699</v>
      </c>
      <c r="H12">
        <v>9.9791429475612203E-2</v>
      </c>
      <c r="I12">
        <v>1.8373398832496401E-2</v>
      </c>
      <c r="J12">
        <v>2.08865435368473E-2</v>
      </c>
      <c r="K12">
        <v>1.2675379200000001</v>
      </c>
      <c r="L12">
        <v>0.10228132502597199</v>
      </c>
      <c r="M12">
        <v>1.9134143265900402E-2</v>
      </c>
      <c r="N12">
        <v>2.4118068765351199E-2</v>
      </c>
      <c r="O12" s="2">
        <v>1000</v>
      </c>
      <c r="P12" s="2">
        <v>0</v>
      </c>
      <c r="Q12" s="1">
        <v>0</v>
      </c>
    </row>
    <row r="13" spans="1:17" x14ac:dyDescent="0.25">
      <c r="A13">
        <v>1.33099999999998</v>
      </c>
      <c r="B13">
        <v>0.124178055474673</v>
      </c>
      <c r="C13">
        <v>1.4151347792229101</v>
      </c>
      <c r="D13">
        <v>0.148871497807469</v>
      </c>
      <c r="E13" s="14">
        <v>3.69092003156161E-5</v>
      </c>
      <c r="F13">
        <v>4.01668642723845E-2</v>
      </c>
      <c r="G13">
        <v>1.4096813547860201</v>
      </c>
      <c r="H13">
        <v>0.147432922851889</v>
      </c>
      <c r="I13">
        <v>3.3243806863574303E-2</v>
      </c>
      <c r="J13">
        <v>3.7685006988854498E-2</v>
      </c>
      <c r="K13">
        <v>1.4222914762099801</v>
      </c>
      <c r="L13">
        <v>0.151166086197837</v>
      </c>
      <c r="M13">
        <v>3.4506349716708601E-2</v>
      </c>
      <c r="N13">
        <v>3.9176635819864303E-2</v>
      </c>
      <c r="O13" s="2">
        <v>1000</v>
      </c>
      <c r="P13" s="2">
        <v>0</v>
      </c>
      <c r="Q13" s="1">
        <v>0</v>
      </c>
    </row>
    <row r="14" spans="1:17" x14ac:dyDescent="0.25">
      <c r="A14">
        <v>1.46409999999998</v>
      </c>
      <c r="B14">
        <v>0.16557074063289801</v>
      </c>
      <c r="C14">
        <v>1.62931133869918</v>
      </c>
      <c r="D14">
        <v>0.20417052793252199</v>
      </c>
      <c r="E14">
        <v>1.07164444697636E-2</v>
      </c>
      <c r="F14">
        <v>7.6454144052140099E-2</v>
      </c>
      <c r="G14">
        <v>1.5906028932263301</v>
      </c>
      <c r="H14">
        <v>0.196858659379226</v>
      </c>
      <c r="I14">
        <v>5.1827861024841701E-2</v>
      </c>
      <c r="J14">
        <v>6.1403593704809099E-2</v>
      </c>
      <c r="K14">
        <v>1.5939161422924399</v>
      </c>
      <c r="L14">
        <v>0.19806399848210399</v>
      </c>
      <c r="M14">
        <v>5.2142796755270497E-2</v>
      </c>
      <c r="N14">
        <v>5.9795768421286297E-2</v>
      </c>
      <c r="O14" s="2">
        <v>1000</v>
      </c>
      <c r="P14" s="2">
        <v>0</v>
      </c>
      <c r="Q14" s="1">
        <v>0</v>
      </c>
    </row>
    <row r="15" spans="1:17" x14ac:dyDescent="0.25">
      <c r="A15">
        <v>1.6105099999999799</v>
      </c>
      <c r="B15">
        <v>0.20696342579112301</v>
      </c>
      <c r="C15">
        <v>1.9162517585493899</v>
      </c>
      <c r="D15">
        <v>0.26449721516163899</v>
      </c>
      <c r="E15">
        <v>6.7345231124968999E-2</v>
      </c>
      <c r="F15">
        <v>0.1111351089711</v>
      </c>
      <c r="G15">
        <v>1.8394566036406601</v>
      </c>
      <c r="H15">
        <v>0.249120357870659</v>
      </c>
      <c r="I15">
        <v>7.4685303777739395E-2</v>
      </c>
      <c r="J15">
        <v>9.3780594295184802E-2</v>
      </c>
      <c r="K15">
        <v>1.8321562398106299</v>
      </c>
      <c r="L15">
        <v>0.24914272191466</v>
      </c>
      <c r="M15">
        <v>7.7321051649699199E-2</v>
      </c>
      <c r="N15">
        <v>9.0209453806402204E-2</v>
      </c>
      <c r="O15" s="2">
        <v>1000</v>
      </c>
      <c r="P15" s="2">
        <v>0</v>
      </c>
      <c r="Q15" s="1">
        <v>0</v>
      </c>
    </row>
    <row r="16" spans="1:17" x14ac:dyDescent="0.25">
      <c r="A16">
        <v>1.7715610000000099</v>
      </c>
      <c r="B16">
        <v>0.24835611094934601</v>
      </c>
      <c r="C16">
        <v>2.3259764634859899</v>
      </c>
      <c r="D16">
        <v>0.32780741002031399</v>
      </c>
      <c r="E16">
        <v>0.25823827514474301</v>
      </c>
      <c r="F16">
        <v>0.15928911677817001</v>
      </c>
      <c r="G16">
        <v>2.21128260342942</v>
      </c>
      <c r="H16">
        <v>0.30521604524128898</v>
      </c>
      <c r="I16">
        <v>0.10349759684882601</v>
      </c>
      <c r="J16">
        <v>0.142508091642678</v>
      </c>
      <c r="K16">
        <v>2.18100848498643</v>
      </c>
      <c r="L16">
        <v>0.30320186862591603</v>
      </c>
      <c r="M16">
        <v>0.10937040446209401</v>
      </c>
      <c r="N16">
        <v>0.13767682235216</v>
      </c>
      <c r="O16" s="2">
        <v>1000</v>
      </c>
      <c r="P16" s="2">
        <v>0</v>
      </c>
      <c r="Q16" s="1">
        <v>0</v>
      </c>
    </row>
    <row r="17" spans="1:17" x14ac:dyDescent="0.25">
      <c r="A17">
        <v>1.9487171000000201</v>
      </c>
      <c r="B17">
        <v>0.28974879610757398</v>
      </c>
      <c r="C17">
        <v>2.6604451905522999</v>
      </c>
      <c r="D17">
        <v>0.38281921693747201</v>
      </c>
      <c r="E17">
        <v>0.390552827182434</v>
      </c>
      <c r="F17">
        <v>0.17271795984614</v>
      </c>
      <c r="G17">
        <v>4.6205043228932103</v>
      </c>
      <c r="H17">
        <v>0.35660231635164302</v>
      </c>
      <c r="I17">
        <v>0.13245758555669199</v>
      </c>
      <c r="J17">
        <v>0.19068205744823899</v>
      </c>
      <c r="K17">
        <v>2.4550691051669999</v>
      </c>
      <c r="L17">
        <v>0.34972739669106701</v>
      </c>
      <c r="M17">
        <v>0.136586118251665</v>
      </c>
      <c r="N17">
        <v>0.15237748941042301</v>
      </c>
      <c r="O17" s="2">
        <v>1000</v>
      </c>
      <c r="P17" s="2">
        <v>0</v>
      </c>
      <c r="Q17" s="1">
        <v>0</v>
      </c>
    </row>
    <row r="18" spans="1:17" x14ac:dyDescent="0.25">
      <c r="A18">
        <v>2.1435888099999798</v>
      </c>
      <c r="B18">
        <v>0.33114148126579601</v>
      </c>
      <c r="C18">
        <v>3.16576142547071</v>
      </c>
      <c r="D18">
        <v>0.44527007205201202</v>
      </c>
      <c r="E18">
        <v>0.742481876268413</v>
      </c>
      <c r="F18">
        <v>0.201249461027947</v>
      </c>
      <c r="G18">
        <v>5.2332959564944703</v>
      </c>
      <c r="H18">
        <v>0.41722153526574202</v>
      </c>
      <c r="I18">
        <v>0.16945397335931101</v>
      </c>
      <c r="J18">
        <v>0.23236861793371699</v>
      </c>
      <c r="K18">
        <v>3.0147482393828402</v>
      </c>
      <c r="L18">
        <v>0.40796795433983302</v>
      </c>
      <c r="M18">
        <v>0.19030629211585801</v>
      </c>
      <c r="N18">
        <v>0.20044797774281001</v>
      </c>
      <c r="O18" s="2">
        <v>1000</v>
      </c>
      <c r="P18" s="2">
        <v>0</v>
      </c>
      <c r="Q18" s="1">
        <v>0</v>
      </c>
    </row>
    <row r="19" spans="1:17" x14ac:dyDescent="0.25">
      <c r="A19">
        <v>2.3579476909999699</v>
      </c>
      <c r="B19">
        <v>0.37253416642402998</v>
      </c>
      <c r="C19">
        <v>3.4857486595620801</v>
      </c>
      <c r="D19">
        <v>0.48807373648116098</v>
      </c>
      <c r="E19">
        <v>0.90707980536391797</v>
      </c>
      <c r="F19">
        <v>0.20142065776401399</v>
      </c>
      <c r="G19">
        <v>7.5804727334071904</v>
      </c>
      <c r="H19">
        <v>0.45721806887091898</v>
      </c>
      <c r="I19">
        <v>0.19325413381894299</v>
      </c>
      <c r="J19">
        <v>0.249714768442622</v>
      </c>
      <c r="K19">
        <v>3.2286074914780998</v>
      </c>
      <c r="L19">
        <v>0.44335885009742199</v>
      </c>
      <c r="M19">
        <v>0.21414447197985201</v>
      </c>
      <c r="N19">
        <v>0.19521306715799699</v>
      </c>
      <c r="O19" s="2">
        <v>1000</v>
      </c>
      <c r="P19" s="2">
        <v>0</v>
      </c>
      <c r="Q19" s="1">
        <v>0</v>
      </c>
    </row>
    <row r="20" spans="1:17" x14ac:dyDescent="0.25">
      <c r="A20">
        <v>2.5937424601000201</v>
      </c>
      <c r="B20">
        <v>0.41392685158224601</v>
      </c>
      <c r="C20">
        <v>3.9617736091289002</v>
      </c>
      <c r="D20">
        <v>0.54080653351579999</v>
      </c>
      <c r="E20">
        <v>1.3584125294998699</v>
      </c>
      <c r="F20">
        <v>0.211610602307885</v>
      </c>
      <c r="G20">
        <v>12.563799042697701</v>
      </c>
      <c r="H20">
        <v>0.52238768592686502</v>
      </c>
      <c r="I20">
        <v>0.240510620391616</v>
      </c>
      <c r="J20">
        <v>0.31696676536180002</v>
      </c>
      <c r="K20">
        <v>3.9119311546453499</v>
      </c>
      <c r="L20">
        <v>0.50180682101389795</v>
      </c>
      <c r="M20">
        <v>0.27721680140605798</v>
      </c>
      <c r="N20">
        <v>0.23315969716639201</v>
      </c>
      <c r="O20" s="2">
        <v>1000</v>
      </c>
      <c r="P20" s="2">
        <v>0</v>
      </c>
      <c r="Q20" s="1">
        <v>0</v>
      </c>
    </row>
    <row r="21" spans="1:17" x14ac:dyDescent="0.25">
      <c r="A21">
        <v>2.85311670611005</v>
      </c>
      <c r="B21">
        <v>0.45531953674048498</v>
      </c>
      <c r="C21">
        <v>4.6971365517036601</v>
      </c>
      <c r="D21">
        <v>0.60613633824116697</v>
      </c>
      <c r="E21">
        <v>2.1337237711751</v>
      </c>
      <c r="F21">
        <v>0.23100427025097101</v>
      </c>
      <c r="G21">
        <v>20.470609264327901</v>
      </c>
      <c r="H21">
        <v>0.61936313608988802</v>
      </c>
      <c r="I21">
        <v>0.31621843571094299</v>
      </c>
      <c r="J21">
        <v>0.40355357898997002</v>
      </c>
      <c r="K21">
        <v>5.2626003780226798</v>
      </c>
      <c r="L21">
        <v>0.58662583100612897</v>
      </c>
      <c r="M21">
        <v>0.44175616636756898</v>
      </c>
      <c r="N21">
        <v>0.29069481745075398</v>
      </c>
      <c r="O21" s="2">
        <v>1000</v>
      </c>
      <c r="P21" s="2">
        <v>0</v>
      </c>
      <c r="Q21" s="1">
        <v>0</v>
      </c>
    </row>
    <row r="22" spans="1:17" x14ac:dyDescent="0.25">
      <c r="A22">
        <v>3.1384283767210501</v>
      </c>
      <c r="B22">
        <v>0.49671222189869302</v>
      </c>
      <c r="C22">
        <v>5.1066894289403297</v>
      </c>
      <c r="D22">
        <v>0.64125384706912503</v>
      </c>
      <c r="E22">
        <v>2.6277087632003902</v>
      </c>
      <c r="F22">
        <v>0.235949683238484</v>
      </c>
      <c r="G22">
        <v>29.522976053896699</v>
      </c>
      <c r="H22">
        <v>0.66799612382529405</v>
      </c>
      <c r="I22">
        <v>0.35785495247728299</v>
      </c>
      <c r="J22">
        <v>0.455589726451963</v>
      </c>
      <c r="K22">
        <v>5.7783572801966603</v>
      </c>
      <c r="L22">
        <v>0.62297025799542205</v>
      </c>
      <c r="M22">
        <v>0.49655767654046001</v>
      </c>
      <c r="N22">
        <v>0.30055820789170601</v>
      </c>
      <c r="O22" s="2">
        <v>1000</v>
      </c>
      <c r="P22" s="2">
        <v>0</v>
      </c>
      <c r="Q22" s="1">
        <v>0</v>
      </c>
    </row>
    <row r="23" spans="1:17" x14ac:dyDescent="0.25">
      <c r="A23">
        <v>3.4522712143930399</v>
      </c>
      <c r="B23">
        <v>0.53810490705693204</v>
      </c>
      <c r="C23">
        <v>5.4571629075745296</v>
      </c>
      <c r="D23">
        <v>0.66649696555106996</v>
      </c>
      <c r="E23">
        <v>2.9249364611777602</v>
      </c>
      <c r="F23">
        <v>0.24411527445843401</v>
      </c>
      <c r="G23">
        <v>39.119433442036303</v>
      </c>
      <c r="H23">
        <v>0.73091780086580305</v>
      </c>
      <c r="I23">
        <v>0.41315084524722201</v>
      </c>
      <c r="J23">
        <v>0.511561799431685</v>
      </c>
      <c r="K23">
        <v>6.7359769258881599</v>
      </c>
      <c r="L23">
        <v>0.67136280536457704</v>
      </c>
      <c r="M23">
        <v>0.618574176090533</v>
      </c>
      <c r="N23">
        <v>0.32772237640914298</v>
      </c>
      <c r="O23" s="2">
        <v>1000</v>
      </c>
      <c r="P23" s="2">
        <v>0</v>
      </c>
      <c r="Q23" s="1">
        <v>0</v>
      </c>
    </row>
    <row r="24" spans="1:17" x14ac:dyDescent="0.25">
      <c r="A24">
        <v>3.79749833583231</v>
      </c>
      <c r="B24">
        <v>0.57949759221514796</v>
      </c>
      <c r="C24">
        <v>5.62015567168255</v>
      </c>
      <c r="D24">
        <v>0.68478641029022502</v>
      </c>
      <c r="E24">
        <v>3.0194967443034701</v>
      </c>
      <c r="F24">
        <v>0.23383324101908401</v>
      </c>
      <c r="G24">
        <v>44.7448494735659</v>
      </c>
      <c r="H24">
        <v>0.80110483525412202</v>
      </c>
      <c r="I24">
        <v>0.47087867392599397</v>
      </c>
      <c r="J24">
        <v>0.53912643653526204</v>
      </c>
      <c r="K24">
        <v>7.9250413616787796</v>
      </c>
      <c r="L24">
        <v>0.73258813476392703</v>
      </c>
      <c r="M24">
        <v>0.77170362902669098</v>
      </c>
      <c r="N24">
        <v>0.34842389669889101</v>
      </c>
      <c r="O24" s="2">
        <v>1000</v>
      </c>
      <c r="P24" s="2">
        <v>0</v>
      </c>
      <c r="Q24" s="1">
        <v>0</v>
      </c>
    </row>
    <row r="25" spans="1:17" x14ac:dyDescent="0.25">
      <c r="A25">
        <v>4.1772481694156403</v>
      </c>
      <c r="B25">
        <v>0.62089027737336999</v>
      </c>
      <c r="C25">
        <v>6.0434968702563001</v>
      </c>
      <c r="D25">
        <v>0.71583365902260698</v>
      </c>
      <c r="E25">
        <v>3.4947649432326799</v>
      </c>
      <c r="F25">
        <v>0.23576309158459399</v>
      </c>
      <c r="G25">
        <v>67.938088500133603</v>
      </c>
      <c r="H25">
        <v>0.87707519038876602</v>
      </c>
      <c r="I25">
        <v>0.54630378700599602</v>
      </c>
      <c r="J25">
        <v>0.61877841262508804</v>
      </c>
      <c r="K25">
        <v>8.7235491447448794</v>
      </c>
      <c r="L25">
        <v>0.77431556013877101</v>
      </c>
      <c r="M25">
        <v>0.87232092256581795</v>
      </c>
      <c r="N25">
        <v>0.35545737497357399</v>
      </c>
      <c r="O25" s="2">
        <v>1000</v>
      </c>
      <c r="P25" s="2">
        <v>0</v>
      </c>
      <c r="Q25" s="1">
        <v>0</v>
      </c>
    </row>
    <row r="26" spans="1:17" x14ac:dyDescent="0.25">
      <c r="A26">
        <v>4.5949729863572504</v>
      </c>
      <c r="B26">
        <v>0.66228296253159202</v>
      </c>
      <c r="C26">
        <v>6.5390118546722702</v>
      </c>
      <c r="D26">
        <v>0.75442908908772399</v>
      </c>
      <c r="E26">
        <v>4.1332697314525504</v>
      </c>
      <c r="F26">
        <v>0.23271490034234499</v>
      </c>
      <c r="G26">
        <v>71.561380940726593</v>
      </c>
      <c r="H26">
        <v>0.94328090625983796</v>
      </c>
      <c r="I26">
        <v>0.60075363058411502</v>
      </c>
      <c r="J26">
        <v>0.62378204428916595</v>
      </c>
      <c r="K26">
        <v>10.011489879559401</v>
      </c>
      <c r="L26">
        <v>0.835541939169265</v>
      </c>
      <c r="M26">
        <v>1.04753418178742</v>
      </c>
      <c r="N26">
        <v>0.36358668690294099</v>
      </c>
      <c r="O26" s="2">
        <v>1000</v>
      </c>
      <c r="P26" s="2">
        <v>0</v>
      </c>
      <c r="Q26" s="1">
        <v>0</v>
      </c>
    </row>
    <row r="27" spans="1:17" x14ac:dyDescent="0.25">
      <c r="A27">
        <v>5.0544702849929299</v>
      </c>
      <c r="B27">
        <v>0.70367564768981405</v>
      </c>
      <c r="C27">
        <v>6.7017107262296198</v>
      </c>
      <c r="D27">
        <v>0.76731922497760396</v>
      </c>
      <c r="E27">
        <v>4.4097586299506304</v>
      </c>
      <c r="F27">
        <v>0.22933998374464401</v>
      </c>
      <c r="G27">
        <v>98.365312295741703</v>
      </c>
      <c r="H27">
        <v>0.99468788510103801</v>
      </c>
      <c r="I27">
        <v>0.660656771481969</v>
      </c>
      <c r="J27">
        <v>0.69769365944839801</v>
      </c>
      <c r="K27">
        <v>10.268146941067201</v>
      </c>
      <c r="L27">
        <v>0.84779522360724302</v>
      </c>
      <c r="M27">
        <v>1.0760997297599799</v>
      </c>
      <c r="N27">
        <v>0.36487021136688802</v>
      </c>
      <c r="O27" s="2">
        <v>1000</v>
      </c>
      <c r="P27" s="2">
        <v>0</v>
      </c>
      <c r="Q27" s="1">
        <v>0</v>
      </c>
    </row>
    <row r="28" spans="1:17" x14ac:dyDescent="0.25">
      <c r="A28">
        <v>5.5599173134923303</v>
      </c>
      <c r="B28">
        <v>0.74506833284806095</v>
      </c>
      <c r="C28">
        <v>6.68849236222154</v>
      </c>
      <c r="D28">
        <v>0.76827276835952596</v>
      </c>
      <c r="E28">
        <v>4.3804913330175399</v>
      </c>
      <c r="F28">
        <v>0.222349658676019</v>
      </c>
      <c r="G28">
        <v>112.031516020262</v>
      </c>
      <c r="H28">
        <v>1.0496311481749301</v>
      </c>
      <c r="I28">
        <v>0.71432849941654697</v>
      </c>
      <c r="J28">
        <v>0.725461400164092</v>
      </c>
      <c r="K28">
        <v>11.073029094701299</v>
      </c>
      <c r="L28">
        <v>0.88314892520425103</v>
      </c>
      <c r="M28">
        <v>1.1882639480185999</v>
      </c>
      <c r="N28">
        <v>0.36768599141592601</v>
      </c>
      <c r="O28" s="2">
        <v>1000</v>
      </c>
      <c r="P28" s="2">
        <v>0</v>
      </c>
      <c r="Q28" s="1">
        <v>0</v>
      </c>
    </row>
    <row r="29" spans="1:17" x14ac:dyDescent="0.25">
      <c r="A29">
        <v>6.1159090448415396</v>
      </c>
      <c r="B29">
        <v>0.78646101800628598</v>
      </c>
      <c r="C29">
        <v>6.9553892493642797</v>
      </c>
      <c r="D29">
        <v>0.77836348603890604</v>
      </c>
      <c r="E29">
        <v>4.7968655374461298</v>
      </c>
      <c r="F29">
        <v>0.23411114066556701</v>
      </c>
      <c r="G29">
        <v>125.211165310757</v>
      </c>
      <c r="H29">
        <v>1.1133444966595401</v>
      </c>
      <c r="I29">
        <v>0.77703472880330404</v>
      </c>
      <c r="J29">
        <v>0.75098778946881295</v>
      </c>
      <c r="K29">
        <v>12.3239534470157</v>
      </c>
      <c r="L29">
        <v>0.92641252829644605</v>
      </c>
      <c r="M29">
        <v>1.39035858120126</v>
      </c>
      <c r="N29">
        <v>0.38077940958238399</v>
      </c>
      <c r="O29" s="2">
        <v>1000</v>
      </c>
      <c r="P29" s="2">
        <v>0</v>
      </c>
      <c r="Q29" s="1">
        <v>0</v>
      </c>
    </row>
    <row r="30" spans="1:17" x14ac:dyDescent="0.25">
      <c r="A30">
        <v>6.7274999493256402</v>
      </c>
      <c r="B30">
        <v>0.82785370316449203</v>
      </c>
      <c r="C30">
        <v>7.2488157680297904</v>
      </c>
      <c r="D30">
        <v>0.79650300533156304</v>
      </c>
      <c r="E30">
        <v>5.2559032411668598</v>
      </c>
      <c r="F30">
        <v>0.23665634544575601</v>
      </c>
      <c r="G30">
        <v>152.556106326318</v>
      </c>
      <c r="H30">
        <v>1.18988323453573</v>
      </c>
      <c r="I30">
        <v>0.856740641541893</v>
      </c>
      <c r="J30">
        <v>0.79262903387414296</v>
      </c>
      <c r="K30">
        <v>13.0551243806221</v>
      </c>
      <c r="L30">
        <v>0.96366909383228005</v>
      </c>
      <c r="M30">
        <v>1.4779243322841</v>
      </c>
      <c r="N30">
        <v>0.37030718277680302</v>
      </c>
      <c r="O30" s="2">
        <v>1000</v>
      </c>
      <c r="P30" s="2">
        <v>0</v>
      </c>
      <c r="Q30" s="1">
        <v>0</v>
      </c>
    </row>
    <row r="31" spans="1:17" x14ac:dyDescent="0.25">
      <c r="A31">
        <v>7.4002499442583201</v>
      </c>
      <c r="B31">
        <v>0.86924638832272205</v>
      </c>
      <c r="C31">
        <v>7.7646281872112999</v>
      </c>
      <c r="D31">
        <v>0.82885241111354901</v>
      </c>
      <c r="E31">
        <v>5.8128695292337298</v>
      </c>
      <c r="F31">
        <v>0.236617984443071</v>
      </c>
      <c r="G31">
        <v>143.19999851201601</v>
      </c>
      <c r="H31">
        <v>1.1851682338646901</v>
      </c>
      <c r="I31">
        <v>0.84589595904638504</v>
      </c>
      <c r="J31">
        <v>0.76926524448770095</v>
      </c>
      <c r="K31">
        <v>13.211741012530201</v>
      </c>
      <c r="L31">
        <v>0.97203116597077299</v>
      </c>
      <c r="M31">
        <v>1.49922242183565</v>
      </c>
      <c r="N31">
        <v>0.36630252931007501</v>
      </c>
      <c r="O31" s="2">
        <v>1000</v>
      </c>
      <c r="P31" s="2">
        <v>0</v>
      </c>
      <c r="Q31" s="1">
        <v>0</v>
      </c>
    </row>
    <row r="32" spans="1:17" x14ac:dyDescent="0.25">
      <c r="A32">
        <v>8.1402749386841204</v>
      </c>
      <c r="B32">
        <v>0.91063907348097095</v>
      </c>
      <c r="C32">
        <v>8.1963083108335208</v>
      </c>
      <c r="D32">
        <v>0.859334998656058</v>
      </c>
      <c r="E32">
        <v>6.4498307023518704</v>
      </c>
      <c r="F32">
        <v>0.22643446902448799</v>
      </c>
      <c r="G32">
        <v>162.61432014749499</v>
      </c>
      <c r="H32">
        <v>1.25411026508918</v>
      </c>
      <c r="I32">
        <v>0.91755990336750903</v>
      </c>
      <c r="J32">
        <v>0.79647978075503301</v>
      </c>
      <c r="K32">
        <v>14.3690582967249</v>
      </c>
      <c r="L32">
        <v>1.01177519124606</v>
      </c>
      <c r="M32">
        <v>1.66949929727859</v>
      </c>
      <c r="N32">
        <v>0.37197159298409699</v>
      </c>
      <c r="O32" s="2">
        <v>1000</v>
      </c>
      <c r="P32" s="2">
        <v>0</v>
      </c>
      <c r="Q32" s="1">
        <v>0</v>
      </c>
    </row>
    <row r="33" spans="1:17" x14ac:dyDescent="0.25">
      <c r="A33">
        <v>8.9543024325522893</v>
      </c>
      <c r="B33">
        <v>0.95203175863915301</v>
      </c>
      <c r="C33">
        <v>8.1830844372524201</v>
      </c>
      <c r="D33">
        <v>0.869819487024863</v>
      </c>
      <c r="E33">
        <v>6.1526977320503899</v>
      </c>
      <c r="F33">
        <v>0.200219256834446</v>
      </c>
      <c r="G33">
        <v>160.15978873970801</v>
      </c>
      <c r="H33">
        <v>1.24652682252845</v>
      </c>
      <c r="I33">
        <v>0.90797062475108803</v>
      </c>
      <c r="J33">
        <v>0.78899731816303198</v>
      </c>
      <c r="K33">
        <v>14.106238113002499</v>
      </c>
      <c r="L33">
        <v>1.00837874185349</v>
      </c>
      <c r="M33">
        <v>1.6204882624802299</v>
      </c>
      <c r="N33">
        <v>0.36224205129187298</v>
      </c>
      <c r="O33" s="2">
        <v>1000</v>
      </c>
      <c r="P33" s="2">
        <v>0</v>
      </c>
      <c r="Q33" s="1">
        <v>0</v>
      </c>
    </row>
    <row r="34" spans="1:17" x14ac:dyDescent="0.25">
      <c r="A34">
        <v>9.8497326758077506</v>
      </c>
      <c r="B34">
        <v>0.99342444379738704</v>
      </c>
      <c r="C34">
        <v>8.0752288372701404</v>
      </c>
      <c r="D34">
        <v>0.86713556354552701</v>
      </c>
      <c r="E34">
        <v>6.1158265719594098</v>
      </c>
      <c r="F34">
        <v>0.18936844317715201</v>
      </c>
      <c r="G34">
        <v>193.52856752192</v>
      </c>
      <c r="H34">
        <v>1.3384625391373699</v>
      </c>
      <c r="I34">
        <v>1.0083349051141299</v>
      </c>
      <c r="J34">
        <v>0.83322909634646902</v>
      </c>
      <c r="K34">
        <v>15.3978655520391</v>
      </c>
      <c r="L34">
        <v>1.0508560338749899</v>
      </c>
      <c r="M34">
        <v>1.82262251002495</v>
      </c>
      <c r="N34">
        <v>0.36590205961632</v>
      </c>
      <c r="O34" s="2">
        <v>1000</v>
      </c>
      <c r="P34" s="2">
        <v>0</v>
      </c>
      <c r="Q34" s="1">
        <v>0</v>
      </c>
    </row>
    <row r="36" spans="1:17" x14ac:dyDescent="0.25">
      <c r="A36" s="1" t="s">
        <v>8</v>
      </c>
      <c r="B36" s="1" t="s">
        <v>25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26</v>
      </c>
      <c r="H36" s="1" t="s">
        <v>27</v>
      </c>
      <c r="I36" s="1" t="s">
        <v>28</v>
      </c>
      <c r="J36" s="1" t="s">
        <v>29</v>
      </c>
      <c r="K36" s="1" t="s">
        <v>30</v>
      </c>
      <c r="L36" s="1" t="s">
        <v>31</v>
      </c>
      <c r="M36" s="1" t="s">
        <v>32</v>
      </c>
      <c r="N36" s="1" t="s">
        <v>33</v>
      </c>
      <c r="O36" s="1" t="s">
        <v>34</v>
      </c>
      <c r="P36" s="1" t="s">
        <v>35</v>
      </c>
    </row>
    <row r="37" spans="1:17" x14ac:dyDescent="0.25">
      <c r="A37" s="1">
        <f>$B11</f>
        <v>4.1392685158224501E-2</v>
      </c>
      <c r="B37" s="1">
        <f>$D11</f>
        <v>5.3245972069676302E-2</v>
      </c>
      <c r="C37" s="1">
        <f t="shared" ref="C37:C60" si="0">B37-$E11</f>
        <v>5.3243010984496381E-2</v>
      </c>
      <c r="D37" s="1">
        <f t="shared" ref="D37:D60" si="1">B37+$E11</f>
        <v>5.3248933154856223E-2</v>
      </c>
      <c r="E37" s="1">
        <f>$B37-$F11</f>
        <v>4.4618904372060383E-2</v>
      </c>
      <c r="F37" s="1">
        <f>$B37+$F11</f>
        <v>6.1873039767292221E-2</v>
      </c>
      <c r="G37" s="1">
        <f>$H11</f>
        <v>5.3273229351210101E-2</v>
      </c>
      <c r="H37" s="1">
        <f>$G37-$I11</f>
        <v>4.6150837587721254E-2</v>
      </c>
      <c r="I37" s="1">
        <f>$G37+$I11</f>
        <v>6.0395621114698948E-2</v>
      </c>
      <c r="J37" s="1">
        <f>$G37-$J11</f>
        <v>4.4618844854396822E-2</v>
      </c>
      <c r="K37" s="1">
        <f>$G37+$J11</f>
        <v>6.192761384802338E-2</v>
      </c>
      <c r="L37" s="1">
        <f>$L11</f>
        <v>5.7039120148033501E-2</v>
      </c>
      <c r="M37" s="1">
        <f>$L37-$M11</f>
        <v>4.8872205086273254E-2</v>
      </c>
      <c r="N37" s="1">
        <f>$L37+$M11</f>
        <v>6.5206035209793747E-2</v>
      </c>
      <c r="O37" s="1">
        <f>$L37-$N11</f>
        <v>3.6958276795194901E-2</v>
      </c>
      <c r="P37" s="1">
        <f>$L37+$N11</f>
        <v>7.7119963500872107E-2</v>
      </c>
    </row>
    <row r="38" spans="1:17" x14ac:dyDescent="0.25">
      <c r="A38" s="1">
        <f t="shared" ref="A38:A60" si="2">$B12</f>
        <v>8.2785370316449003E-2</v>
      </c>
      <c r="B38" s="1">
        <f t="shared" ref="B38:B60" si="3">$D12</f>
        <v>0.100036296362148</v>
      </c>
      <c r="C38" s="1">
        <f t="shared" si="0"/>
        <v>0.10002134725919208</v>
      </c>
      <c r="D38" s="1">
        <f t="shared" si="1"/>
        <v>0.10005124546510392</v>
      </c>
      <c r="E38" s="1">
        <f t="shared" ref="E38:E60" si="4">$B38-$F12</f>
        <v>7.8530532967675398E-2</v>
      </c>
      <c r="F38" s="1">
        <f t="shared" ref="F38:F60" si="5">$B38+$F12</f>
        <v>0.12154205975662061</v>
      </c>
      <c r="G38" s="1">
        <f t="shared" ref="G38:G60" si="6">$H12</f>
        <v>9.9791429475612203E-2</v>
      </c>
      <c r="H38" s="1">
        <f t="shared" ref="H38:H60" si="7">$G38-$I12</f>
        <v>8.1418030643115799E-2</v>
      </c>
      <c r="I38" s="1">
        <f t="shared" ref="I38:I60" si="8">$G38+$I12</f>
        <v>0.11816482830810861</v>
      </c>
      <c r="J38" s="1">
        <f t="shared" ref="J38:J60" si="9">$G38-$J12</f>
        <v>7.8904885938764907E-2</v>
      </c>
      <c r="K38" s="1">
        <f t="shared" ref="K38:K60" si="10">$G38+$J12</f>
        <v>0.1206779730124595</v>
      </c>
      <c r="L38" s="1">
        <f t="shared" ref="L38:L60" si="11">$L12</f>
        <v>0.10228132502597199</v>
      </c>
      <c r="M38" s="1">
        <f t="shared" ref="M38:M60" si="12">$L38-$M12</f>
        <v>8.314718176007159E-2</v>
      </c>
      <c r="N38" s="1">
        <f t="shared" ref="N38:N60" si="13">$L38+$M12</f>
        <v>0.1214154682918724</v>
      </c>
      <c r="O38" s="1">
        <f t="shared" ref="O38:O60" si="14">$L38-$N12</f>
        <v>7.8163256260620789E-2</v>
      </c>
      <c r="P38" s="1">
        <f t="shared" ref="P38:P60" si="15">$L38+$N12</f>
        <v>0.1263993937913232</v>
      </c>
    </row>
    <row r="39" spans="1:17" x14ac:dyDescent="0.25">
      <c r="A39" s="1">
        <f t="shared" si="2"/>
        <v>0.124178055474673</v>
      </c>
      <c r="B39" s="1">
        <f t="shared" si="3"/>
        <v>0.148871497807469</v>
      </c>
      <c r="C39" s="1">
        <f t="shared" si="0"/>
        <v>0.14883458860715337</v>
      </c>
      <c r="D39" s="1">
        <f t="shared" si="1"/>
        <v>0.14890840700778463</v>
      </c>
      <c r="E39" s="1">
        <f t="shared" si="4"/>
        <v>0.1087046335350845</v>
      </c>
      <c r="F39" s="1">
        <f t="shared" si="5"/>
        <v>0.1890383620798535</v>
      </c>
      <c r="G39" s="1">
        <f t="shared" si="6"/>
        <v>0.147432922851889</v>
      </c>
      <c r="H39" s="1">
        <f t="shared" si="7"/>
        <v>0.11418911598831469</v>
      </c>
      <c r="I39" s="1">
        <f t="shared" si="8"/>
        <v>0.18067672971546331</v>
      </c>
      <c r="J39" s="1">
        <f t="shared" si="9"/>
        <v>0.10974791586303451</v>
      </c>
      <c r="K39" s="1">
        <f t="shared" si="10"/>
        <v>0.18511792984074349</v>
      </c>
      <c r="L39" s="1">
        <f t="shared" si="11"/>
        <v>0.151166086197837</v>
      </c>
      <c r="M39" s="1">
        <f t="shared" si="12"/>
        <v>0.1166597364811284</v>
      </c>
      <c r="N39" s="1">
        <f t="shared" si="13"/>
        <v>0.1856724359145456</v>
      </c>
      <c r="O39" s="1">
        <f t="shared" si="14"/>
        <v>0.1119894503779727</v>
      </c>
      <c r="P39" s="1">
        <f t="shared" si="15"/>
        <v>0.1903427220177013</v>
      </c>
    </row>
    <row r="40" spans="1:17" x14ac:dyDescent="0.25">
      <c r="A40" s="1">
        <f t="shared" si="2"/>
        <v>0.16557074063289801</v>
      </c>
      <c r="B40" s="1">
        <f t="shared" si="3"/>
        <v>0.20417052793252199</v>
      </c>
      <c r="C40" s="1">
        <f t="shared" si="0"/>
        <v>0.19345408346275839</v>
      </c>
      <c r="D40" s="1">
        <f t="shared" si="1"/>
        <v>0.2148869724022856</v>
      </c>
      <c r="E40" s="1">
        <f t="shared" si="4"/>
        <v>0.1277163838803819</v>
      </c>
      <c r="F40" s="1">
        <f t="shared" si="5"/>
        <v>0.28062467198466212</v>
      </c>
      <c r="G40" s="1">
        <f t="shared" si="6"/>
        <v>0.196858659379226</v>
      </c>
      <c r="H40" s="1">
        <f t="shared" si="7"/>
        <v>0.14503079835438432</v>
      </c>
      <c r="I40" s="1">
        <f t="shared" si="8"/>
        <v>0.24868652040406769</v>
      </c>
      <c r="J40" s="1">
        <f t="shared" si="9"/>
        <v>0.1354550656744169</v>
      </c>
      <c r="K40" s="1">
        <f t="shared" si="10"/>
        <v>0.25826225308403511</v>
      </c>
      <c r="L40" s="1">
        <f t="shared" si="11"/>
        <v>0.19806399848210399</v>
      </c>
      <c r="M40" s="1">
        <f t="shared" si="12"/>
        <v>0.14592120172683348</v>
      </c>
      <c r="N40" s="1">
        <f t="shared" si="13"/>
        <v>0.25020679523737449</v>
      </c>
      <c r="O40" s="1">
        <f t="shared" si="14"/>
        <v>0.13826823006081768</v>
      </c>
      <c r="P40" s="1">
        <f t="shared" si="15"/>
        <v>0.2578597669033903</v>
      </c>
    </row>
    <row r="41" spans="1:17" x14ac:dyDescent="0.25">
      <c r="A41" s="1">
        <f t="shared" si="2"/>
        <v>0.20696342579112301</v>
      </c>
      <c r="B41" s="1">
        <f t="shared" si="3"/>
        <v>0.26449721516163899</v>
      </c>
      <c r="C41" s="1">
        <f t="shared" si="0"/>
        <v>0.19715198403667</v>
      </c>
      <c r="D41" s="1">
        <f t="shared" si="1"/>
        <v>0.33184244628660797</v>
      </c>
      <c r="E41" s="1">
        <f t="shared" si="4"/>
        <v>0.15336210619053897</v>
      </c>
      <c r="F41" s="1">
        <f t="shared" si="5"/>
        <v>0.375632324132739</v>
      </c>
      <c r="G41" s="1">
        <f t="shared" si="6"/>
        <v>0.249120357870659</v>
      </c>
      <c r="H41" s="1">
        <f t="shared" si="7"/>
        <v>0.17443505409291959</v>
      </c>
      <c r="I41" s="1">
        <f t="shared" si="8"/>
        <v>0.32380566164839841</v>
      </c>
      <c r="J41" s="1">
        <f t="shared" si="9"/>
        <v>0.15533976357547419</v>
      </c>
      <c r="K41" s="1">
        <f t="shared" si="10"/>
        <v>0.34290095216584382</v>
      </c>
      <c r="L41" s="1">
        <f t="shared" si="11"/>
        <v>0.24914272191466</v>
      </c>
      <c r="M41" s="1">
        <f t="shared" si="12"/>
        <v>0.17182167026496081</v>
      </c>
      <c r="N41" s="1">
        <f t="shared" si="13"/>
        <v>0.32646377356435918</v>
      </c>
      <c r="O41" s="1">
        <f t="shared" si="14"/>
        <v>0.15893326810825781</v>
      </c>
      <c r="P41" s="1">
        <f t="shared" si="15"/>
        <v>0.33935217572106219</v>
      </c>
    </row>
    <row r="42" spans="1:17" x14ac:dyDescent="0.25">
      <c r="A42" s="1">
        <f t="shared" si="2"/>
        <v>0.24835611094934601</v>
      </c>
      <c r="B42" s="1">
        <f t="shared" si="3"/>
        <v>0.32780741002031399</v>
      </c>
      <c r="C42" s="1">
        <f t="shared" si="0"/>
        <v>6.9569134875570982E-2</v>
      </c>
      <c r="D42" s="1">
        <f t="shared" si="1"/>
        <v>0.58604568516505706</v>
      </c>
      <c r="E42" s="1">
        <f t="shared" si="4"/>
        <v>0.16851829324214398</v>
      </c>
      <c r="F42" s="1">
        <f t="shared" si="5"/>
        <v>0.48709652679848403</v>
      </c>
      <c r="G42" s="1">
        <f t="shared" si="6"/>
        <v>0.30521604524128898</v>
      </c>
      <c r="H42" s="1">
        <f t="shared" si="7"/>
        <v>0.20171844839246297</v>
      </c>
      <c r="I42" s="1">
        <f t="shared" si="8"/>
        <v>0.40871364209011496</v>
      </c>
      <c r="J42" s="1">
        <f t="shared" si="9"/>
        <v>0.16270795359861098</v>
      </c>
      <c r="K42" s="1">
        <f t="shared" si="10"/>
        <v>0.44772413688396695</v>
      </c>
      <c r="L42" s="1">
        <f t="shared" si="11"/>
        <v>0.30320186862591603</v>
      </c>
      <c r="M42" s="1">
        <f t="shared" si="12"/>
        <v>0.19383146416382202</v>
      </c>
      <c r="N42" s="1">
        <f t="shared" si="13"/>
        <v>0.41257227308801003</v>
      </c>
      <c r="O42" s="1">
        <f t="shared" si="14"/>
        <v>0.16552504627375603</v>
      </c>
      <c r="P42" s="1">
        <f t="shared" si="15"/>
        <v>0.44087869097807603</v>
      </c>
    </row>
    <row r="43" spans="1:17" x14ac:dyDescent="0.25">
      <c r="A43" s="1">
        <f t="shared" si="2"/>
        <v>0.28974879610757398</v>
      </c>
      <c r="B43" s="1">
        <f t="shared" si="3"/>
        <v>0.38281921693747201</v>
      </c>
      <c r="C43" s="1">
        <f t="shared" si="0"/>
        <v>-7.733610244961997E-3</v>
      </c>
      <c r="D43" s="1">
        <f t="shared" si="1"/>
        <v>0.77337204411990601</v>
      </c>
      <c r="E43" s="1">
        <f t="shared" si="4"/>
        <v>0.21010125709133201</v>
      </c>
      <c r="F43" s="1">
        <f t="shared" si="5"/>
        <v>0.55553717678361203</v>
      </c>
      <c r="G43" s="1">
        <f t="shared" si="6"/>
        <v>0.35660231635164302</v>
      </c>
      <c r="H43" s="1">
        <f t="shared" si="7"/>
        <v>0.22414473079495104</v>
      </c>
      <c r="I43" s="1">
        <f t="shared" si="8"/>
        <v>0.48905990190833504</v>
      </c>
      <c r="J43" s="1">
        <f t="shared" si="9"/>
        <v>0.16592025890340403</v>
      </c>
      <c r="K43" s="1">
        <f t="shared" si="10"/>
        <v>0.54728437379988204</v>
      </c>
      <c r="L43" s="1">
        <f t="shared" si="11"/>
        <v>0.34972739669106701</v>
      </c>
      <c r="M43" s="1">
        <f t="shared" si="12"/>
        <v>0.213141278439402</v>
      </c>
      <c r="N43" s="1">
        <f t="shared" si="13"/>
        <v>0.48631351494273201</v>
      </c>
      <c r="O43" s="1">
        <f t="shared" si="14"/>
        <v>0.197349907280644</v>
      </c>
      <c r="P43" s="1">
        <f t="shared" si="15"/>
        <v>0.50210488610149007</v>
      </c>
    </row>
    <row r="44" spans="1:17" x14ac:dyDescent="0.25">
      <c r="A44" s="1">
        <f t="shared" si="2"/>
        <v>0.33114148126579601</v>
      </c>
      <c r="B44" s="1">
        <f t="shared" si="3"/>
        <v>0.44527007205201202</v>
      </c>
      <c r="C44" s="1">
        <f t="shared" si="0"/>
        <v>-0.29721180421640098</v>
      </c>
      <c r="D44" s="1">
        <f t="shared" si="1"/>
        <v>1.1877519483204251</v>
      </c>
      <c r="E44" s="1">
        <f t="shared" si="4"/>
        <v>0.24402061102406503</v>
      </c>
      <c r="F44" s="1">
        <f t="shared" si="5"/>
        <v>0.64651953307995902</v>
      </c>
      <c r="G44" s="1">
        <f t="shared" si="6"/>
        <v>0.41722153526574202</v>
      </c>
      <c r="H44" s="1">
        <f t="shared" si="7"/>
        <v>0.24776756190643101</v>
      </c>
      <c r="I44" s="1">
        <f t="shared" si="8"/>
        <v>0.58667550862505302</v>
      </c>
      <c r="J44" s="1">
        <f t="shared" si="9"/>
        <v>0.18485291733202502</v>
      </c>
      <c r="K44" s="1">
        <f t="shared" si="10"/>
        <v>0.64959015319945901</v>
      </c>
      <c r="L44" s="1">
        <f t="shared" si="11"/>
        <v>0.40796795433983302</v>
      </c>
      <c r="M44" s="1">
        <f t="shared" si="12"/>
        <v>0.21766166222397501</v>
      </c>
      <c r="N44" s="1">
        <f t="shared" si="13"/>
        <v>0.59827424645569105</v>
      </c>
      <c r="O44" s="1">
        <f t="shared" si="14"/>
        <v>0.20751997659702301</v>
      </c>
      <c r="P44" s="1">
        <f t="shared" si="15"/>
        <v>0.608415932082643</v>
      </c>
    </row>
    <row r="45" spans="1:17" x14ac:dyDescent="0.25">
      <c r="A45" s="1">
        <f t="shared" si="2"/>
        <v>0.37253416642402998</v>
      </c>
      <c r="B45" s="1">
        <f t="shared" si="3"/>
        <v>0.48807373648116098</v>
      </c>
      <c r="C45" s="1">
        <f t="shared" si="0"/>
        <v>-0.41900606888275699</v>
      </c>
      <c r="D45" s="1">
        <f t="shared" si="1"/>
        <v>1.3951535418450789</v>
      </c>
      <c r="E45" s="1">
        <f t="shared" si="4"/>
        <v>0.28665307871714696</v>
      </c>
      <c r="F45" s="1">
        <f t="shared" si="5"/>
        <v>0.689494394245175</v>
      </c>
      <c r="G45" s="1">
        <f t="shared" si="6"/>
        <v>0.45721806887091898</v>
      </c>
      <c r="H45" s="1">
        <f t="shared" si="7"/>
        <v>0.26396393505197602</v>
      </c>
      <c r="I45" s="1">
        <f t="shared" si="8"/>
        <v>0.65047220268986194</v>
      </c>
      <c r="J45" s="1">
        <f t="shared" si="9"/>
        <v>0.20750330042829698</v>
      </c>
      <c r="K45" s="1">
        <f t="shared" si="10"/>
        <v>0.70693283731354095</v>
      </c>
      <c r="L45" s="1">
        <f t="shared" si="11"/>
        <v>0.44335885009742199</v>
      </c>
      <c r="M45" s="1">
        <f t="shared" si="12"/>
        <v>0.22921437811756998</v>
      </c>
      <c r="N45" s="1">
        <f t="shared" si="13"/>
        <v>0.65750332207727402</v>
      </c>
      <c r="O45" s="1">
        <f t="shared" si="14"/>
        <v>0.24814578293942499</v>
      </c>
      <c r="P45" s="1">
        <f t="shared" si="15"/>
        <v>0.63857191725541895</v>
      </c>
    </row>
    <row r="46" spans="1:17" x14ac:dyDescent="0.25">
      <c r="A46" s="1">
        <f t="shared" si="2"/>
        <v>0.41392685158224601</v>
      </c>
      <c r="B46" s="1">
        <f t="shared" si="3"/>
        <v>0.54080653351579999</v>
      </c>
      <c r="C46" s="1">
        <f t="shared" si="0"/>
        <v>-0.81760599598406991</v>
      </c>
      <c r="D46" s="1">
        <f t="shared" si="1"/>
        <v>1.89921906301567</v>
      </c>
      <c r="E46" s="1">
        <f t="shared" si="4"/>
        <v>0.32919593120791502</v>
      </c>
      <c r="F46" s="1">
        <f t="shared" si="5"/>
        <v>0.75241713582368497</v>
      </c>
      <c r="G46" s="1">
        <f t="shared" si="6"/>
        <v>0.52238768592686502</v>
      </c>
      <c r="H46" s="1">
        <f t="shared" si="7"/>
        <v>0.28187706553524905</v>
      </c>
      <c r="I46" s="1">
        <f t="shared" si="8"/>
        <v>0.76289830631848099</v>
      </c>
      <c r="J46" s="1">
        <f t="shared" si="9"/>
        <v>0.205420920565065</v>
      </c>
      <c r="K46" s="1">
        <f t="shared" si="10"/>
        <v>0.83935445128866504</v>
      </c>
      <c r="L46" s="1">
        <f t="shared" si="11"/>
        <v>0.50180682101389795</v>
      </c>
      <c r="M46" s="1">
        <f t="shared" si="12"/>
        <v>0.22459001960783997</v>
      </c>
      <c r="N46" s="1">
        <f t="shared" si="13"/>
        <v>0.77902362241995593</v>
      </c>
      <c r="O46" s="1">
        <f t="shared" si="14"/>
        <v>0.26864712384750594</v>
      </c>
      <c r="P46" s="1">
        <f t="shared" si="15"/>
        <v>0.73496651818029002</v>
      </c>
    </row>
    <row r="47" spans="1:17" x14ac:dyDescent="0.25">
      <c r="A47" s="1">
        <f t="shared" si="2"/>
        <v>0.45531953674048498</v>
      </c>
      <c r="B47" s="1">
        <f t="shared" si="3"/>
        <v>0.60613633824116697</v>
      </c>
      <c r="C47" s="1">
        <f t="shared" si="0"/>
        <v>-1.5275874329339332</v>
      </c>
      <c r="D47" s="1">
        <f t="shared" si="1"/>
        <v>2.7398601094162669</v>
      </c>
      <c r="E47" s="1">
        <f t="shared" si="4"/>
        <v>0.37513206799019594</v>
      </c>
      <c r="F47" s="1">
        <f t="shared" si="5"/>
        <v>0.83714060849213801</v>
      </c>
      <c r="G47" s="1">
        <f t="shared" si="6"/>
        <v>0.61936313608988802</v>
      </c>
      <c r="H47" s="1">
        <f t="shared" si="7"/>
        <v>0.30314470037894503</v>
      </c>
      <c r="I47" s="1">
        <f t="shared" si="8"/>
        <v>0.93558157180083101</v>
      </c>
      <c r="J47" s="1">
        <f t="shared" si="9"/>
        <v>0.215809557099918</v>
      </c>
      <c r="K47" s="1">
        <f t="shared" si="10"/>
        <v>1.0229167150798579</v>
      </c>
      <c r="L47" s="1">
        <f t="shared" si="11"/>
        <v>0.58662583100612897</v>
      </c>
      <c r="M47" s="1">
        <f t="shared" si="12"/>
        <v>0.14486966463855999</v>
      </c>
      <c r="N47" s="1">
        <f t="shared" si="13"/>
        <v>1.0283819973736978</v>
      </c>
      <c r="O47" s="1">
        <f t="shared" si="14"/>
        <v>0.29593101355537499</v>
      </c>
      <c r="P47" s="1">
        <f t="shared" si="15"/>
        <v>0.87732064845688296</v>
      </c>
    </row>
    <row r="48" spans="1:17" x14ac:dyDescent="0.25">
      <c r="A48" s="1">
        <f t="shared" si="2"/>
        <v>0.49671222189869302</v>
      </c>
      <c r="B48" s="1">
        <f t="shared" si="3"/>
        <v>0.64125384706912503</v>
      </c>
      <c r="C48" s="1">
        <f t="shared" si="0"/>
        <v>-1.9864549161312652</v>
      </c>
      <c r="D48" s="1">
        <f t="shared" si="1"/>
        <v>3.2689626102695151</v>
      </c>
      <c r="E48" s="1">
        <f t="shared" si="4"/>
        <v>0.40530416383064105</v>
      </c>
      <c r="F48" s="1">
        <f t="shared" si="5"/>
        <v>0.877203530307609</v>
      </c>
      <c r="G48" s="1">
        <f t="shared" si="6"/>
        <v>0.66799612382529405</v>
      </c>
      <c r="H48" s="1">
        <f t="shared" si="7"/>
        <v>0.31014117134801106</v>
      </c>
      <c r="I48" s="1">
        <f t="shared" si="8"/>
        <v>1.025851076302577</v>
      </c>
      <c r="J48" s="1">
        <f t="shared" si="9"/>
        <v>0.21240639737333106</v>
      </c>
      <c r="K48" s="1">
        <f t="shared" si="10"/>
        <v>1.1235858502772571</v>
      </c>
      <c r="L48" s="1">
        <f t="shared" si="11"/>
        <v>0.62297025799542205</v>
      </c>
      <c r="M48" s="1">
        <f t="shared" si="12"/>
        <v>0.12641258145496204</v>
      </c>
      <c r="N48" s="1">
        <f t="shared" si="13"/>
        <v>1.1195279345358822</v>
      </c>
      <c r="O48" s="1">
        <f t="shared" si="14"/>
        <v>0.32241205010371604</v>
      </c>
      <c r="P48" s="1">
        <f t="shared" si="15"/>
        <v>0.92352846588712811</v>
      </c>
    </row>
    <row r="49" spans="1:16" x14ac:dyDescent="0.25">
      <c r="A49" s="1">
        <f t="shared" si="2"/>
        <v>0.53810490705693204</v>
      </c>
      <c r="B49" s="1">
        <f t="shared" si="3"/>
        <v>0.66649696555106996</v>
      </c>
      <c r="C49" s="1">
        <f t="shared" si="0"/>
        <v>-2.25843949562669</v>
      </c>
      <c r="D49" s="1">
        <f t="shared" si="1"/>
        <v>3.5914334267288304</v>
      </c>
      <c r="E49" s="1">
        <f t="shared" si="4"/>
        <v>0.42238169109263596</v>
      </c>
      <c r="F49" s="1">
        <f t="shared" si="5"/>
        <v>0.91061224000950403</v>
      </c>
      <c r="G49" s="1">
        <f t="shared" si="6"/>
        <v>0.73091780086580305</v>
      </c>
      <c r="H49" s="1">
        <f t="shared" si="7"/>
        <v>0.31776695561858104</v>
      </c>
      <c r="I49" s="1">
        <f t="shared" si="8"/>
        <v>1.1440686461130252</v>
      </c>
      <c r="J49" s="1">
        <f t="shared" si="9"/>
        <v>0.21935600143411804</v>
      </c>
      <c r="K49" s="1">
        <f t="shared" si="10"/>
        <v>1.2424796002974881</v>
      </c>
      <c r="L49" s="1">
        <f t="shared" si="11"/>
        <v>0.67136280536457704</v>
      </c>
      <c r="M49" s="1">
        <f t="shared" si="12"/>
        <v>5.2788629274044041E-2</v>
      </c>
      <c r="N49" s="1">
        <f t="shared" si="13"/>
        <v>1.28993698145511</v>
      </c>
      <c r="O49" s="1">
        <f t="shared" si="14"/>
        <v>0.34364042895543406</v>
      </c>
      <c r="P49" s="1">
        <f t="shared" si="15"/>
        <v>0.99908518177372008</v>
      </c>
    </row>
    <row r="50" spans="1:16" x14ac:dyDescent="0.25">
      <c r="A50" s="1">
        <f t="shared" si="2"/>
        <v>0.57949759221514796</v>
      </c>
      <c r="B50" s="1">
        <f t="shared" si="3"/>
        <v>0.68478641029022502</v>
      </c>
      <c r="C50" s="1">
        <f t="shared" si="0"/>
        <v>-2.3347103340132449</v>
      </c>
      <c r="D50" s="1">
        <f t="shared" si="1"/>
        <v>3.7042831545936954</v>
      </c>
      <c r="E50" s="1">
        <f t="shared" si="4"/>
        <v>0.45095316927114104</v>
      </c>
      <c r="F50" s="1">
        <f t="shared" si="5"/>
        <v>0.918619651309309</v>
      </c>
      <c r="G50" s="1">
        <f t="shared" si="6"/>
        <v>0.80110483525412202</v>
      </c>
      <c r="H50" s="1">
        <f t="shared" si="7"/>
        <v>0.33022616132812804</v>
      </c>
      <c r="I50" s="1">
        <f t="shared" si="8"/>
        <v>1.2719835091801159</v>
      </c>
      <c r="J50" s="1">
        <f t="shared" si="9"/>
        <v>0.26197839871885997</v>
      </c>
      <c r="K50" s="1">
        <f t="shared" si="10"/>
        <v>1.3402312717893841</v>
      </c>
      <c r="L50" s="1">
        <f t="shared" si="11"/>
        <v>0.73258813476392703</v>
      </c>
      <c r="M50" s="1">
        <f t="shared" si="12"/>
        <v>-3.911549426276395E-2</v>
      </c>
      <c r="N50" s="1">
        <f t="shared" si="13"/>
        <v>1.5042917637906181</v>
      </c>
      <c r="O50" s="1">
        <f t="shared" si="14"/>
        <v>0.38416423806503602</v>
      </c>
      <c r="P50" s="1">
        <f t="shared" si="15"/>
        <v>1.081012031462818</v>
      </c>
    </row>
    <row r="51" spans="1:16" x14ac:dyDescent="0.25">
      <c r="A51" s="1">
        <f t="shared" si="2"/>
        <v>0.62089027737336999</v>
      </c>
      <c r="B51" s="1">
        <f t="shared" si="3"/>
        <v>0.71583365902260698</v>
      </c>
      <c r="C51" s="1">
        <f t="shared" si="0"/>
        <v>-2.7789312842100728</v>
      </c>
      <c r="D51" s="1">
        <f t="shared" si="1"/>
        <v>4.2105986022552866</v>
      </c>
      <c r="E51" s="1">
        <f t="shared" si="4"/>
        <v>0.48007056743801302</v>
      </c>
      <c r="F51" s="1">
        <f t="shared" si="5"/>
        <v>0.95159675060720095</v>
      </c>
      <c r="G51" s="1">
        <f t="shared" si="6"/>
        <v>0.87707519038876602</v>
      </c>
      <c r="H51" s="1">
        <f t="shared" si="7"/>
        <v>0.33077140338277</v>
      </c>
      <c r="I51" s="1">
        <f t="shared" si="8"/>
        <v>1.423378977394762</v>
      </c>
      <c r="J51" s="1">
        <f t="shared" si="9"/>
        <v>0.25829677776367799</v>
      </c>
      <c r="K51" s="1">
        <f t="shared" si="10"/>
        <v>1.4958536030138541</v>
      </c>
      <c r="L51" s="1">
        <f t="shared" si="11"/>
        <v>0.77431556013877101</v>
      </c>
      <c r="M51" s="1">
        <f t="shared" si="12"/>
        <v>-9.8005362427046938E-2</v>
      </c>
      <c r="N51" s="1">
        <f t="shared" si="13"/>
        <v>1.646636482704589</v>
      </c>
      <c r="O51" s="1">
        <f t="shared" si="14"/>
        <v>0.41885818516519702</v>
      </c>
      <c r="P51" s="1">
        <f t="shared" si="15"/>
        <v>1.1297729351123449</v>
      </c>
    </row>
    <row r="52" spans="1:16" x14ac:dyDescent="0.25">
      <c r="A52" s="1">
        <f t="shared" si="2"/>
        <v>0.66228296253159202</v>
      </c>
      <c r="B52" s="1">
        <f t="shared" si="3"/>
        <v>0.75442908908772399</v>
      </c>
      <c r="C52" s="1">
        <f t="shared" si="0"/>
        <v>-3.3788406423648265</v>
      </c>
      <c r="D52" s="1">
        <f t="shared" si="1"/>
        <v>4.8876988205402743</v>
      </c>
      <c r="E52" s="1">
        <f t="shared" si="4"/>
        <v>0.521714188745379</v>
      </c>
      <c r="F52" s="1">
        <f t="shared" si="5"/>
        <v>0.98714398943006898</v>
      </c>
      <c r="G52" s="1">
        <f t="shared" si="6"/>
        <v>0.94328090625983796</v>
      </c>
      <c r="H52" s="1">
        <f t="shared" si="7"/>
        <v>0.34252727567572294</v>
      </c>
      <c r="I52" s="1">
        <f t="shared" si="8"/>
        <v>1.544034536843953</v>
      </c>
      <c r="J52" s="1">
        <f t="shared" si="9"/>
        <v>0.31949886197067201</v>
      </c>
      <c r="K52" s="1">
        <f t="shared" si="10"/>
        <v>1.5670629505490039</v>
      </c>
      <c r="L52" s="1">
        <f t="shared" si="11"/>
        <v>0.835541939169265</v>
      </c>
      <c r="M52" s="1">
        <f t="shared" si="12"/>
        <v>-0.21199224261815497</v>
      </c>
      <c r="N52" s="1">
        <f t="shared" si="13"/>
        <v>1.8830761209566851</v>
      </c>
      <c r="O52" s="1">
        <f t="shared" si="14"/>
        <v>0.47195525226632401</v>
      </c>
      <c r="P52" s="1">
        <f t="shared" si="15"/>
        <v>1.199128626072206</v>
      </c>
    </row>
    <row r="53" spans="1:16" x14ac:dyDescent="0.25">
      <c r="A53" s="1">
        <f t="shared" si="2"/>
        <v>0.70367564768981405</v>
      </c>
      <c r="B53" s="1">
        <f t="shared" si="3"/>
        <v>0.76731922497760396</v>
      </c>
      <c r="C53" s="1">
        <f t="shared" si="0"/>
        <v>-3.6424394049730262</v>
      </c>
      <c r="D53" s="1">
        <f t="shared" si="1"/>
        <v>5.1770778549282346</v>
      </c>
      <c r="E53" s="1">
        <f t="shared" si="4"/>
        <v>0.53797924123295993</v>
      </c>
      <c r="F53" s="1">
        <f t="shared" si="5"/>
        <v>0.996659208722248</v>
      </c>
      <c r="G53" s="1">
        <f t="shared" si="6"/>
        <v>0.99468788510103801</v>
      </c>
      <c r="H53" s="1">
        <f t="shared" si="7"/>
        <v>0.33403111361906901</v>
      </c>
      <c r="I53" s="1">
        <f t="shared" si="8"/>
        <v>1.655344656583007</v>
      </c>
      <c r="J53" s="1">
        <f t="shared" si="9"/>
        <v>0.29699422565264</v>
      </c>
      <c r="K53" s="1">
        <f t="shared" si="10"/>
        <v>1.6923815445494359</v>
      </c>
      <c r="L53" s="1">
        <f t="shared" si="11"/>
        <v>0.84779522360724302</v>
      </c>
      <c r="M53" s="1">
        <f t="shared" si="12"/>
        <v>-0.2283045061527369</v>
      </c>
      <c r="N53" s="1">
        <f t="shared" si="13"/>
        <v>1.9238949533672229</v>
      </c>
      <c r="O53" s="1">
        <f t="shared" si="14"/>
        <v>0.482925012240355</v>
      </c>
      <c r="P53" s="1">
        <f t="shared" si="15"/>
        <v>1.212665434974131</v>
      </c>
    </row>
    <row r="54" spans="1:16" x14ac:dyDescent="0.25">
      <c r="A54" s="1">
        <f t="shared" si="2"/>
        <v>0.74506833284806095</v>
      </c>
      <c r="B54" s="1">
        <f t="shared" si="3"/>
        <v>0.76827276835952596</v>
      </c>
      <c r="C54" s="1">
        <f t="shared" si="0"/>
        <v>-3.6122185646580141</v>
      </c>
      <c r="D54" s="1">
        <f t="shared" si="1"/>
        <v>5.1487641013770657</v>
      </c>
      <c r="E54" s="1">
        <f t="shared" si="4"/>
        <v>0.54592310968350699</v>
      </c>
      <c r="F54" s="1">
        <f t="shared" si="5"/>
        <v>0.99062242703554493</v>
      </c>
      <c r="G54" s="1">
        <f t="shared" si="6"/>
        <v>1.0496311481749301</v>
      </c>
      <c r="H54" s="1">
        <f t="shared" si="7"/>
        <v>0.33530264875838312</v>
      </c>
      <c r="I54" s="1">
        <f t="shared" si="8"/>
        <v>1.7639596475914772</v>
      </c>
      <c r="J54" s="1">
        <f t="shared" si="9"/>
        <v>0.32416974801083809</v>
      </c>
      <c r="K54" s="1">
        <f t="shared" si="10"/>
        <v>1.7750925483390221</v>
      </c>
      <c r="L54" s="1">
        <f t="shared" si="11"/>
        <v>0.88314892520425103</v>
      </c>
      <c r="M54" s="1">
        <f t="shared" si="12"/>
        <v>-0.30511502281434888</v>
      </c>
      <c r="N54" s="1">
        <f t="shared" si="13"/>
        <v>2.0714128732228509</v>
      </c>
      <c r="O54" s="1">
        <f t="shared" si="14"/>
        <v>0.51546293378832497</v>
      </c>
      <c r="P54" s="1">
        <f t="shared" si="15"/>
        <v>1.2508349166201771</v>
      </c>
    </row>
    <row r="55" spans="1:16" x14ac:dyDescent="0.25">
      <c r="A55" s="1">
        <f t="shared" si="2"/>
        <v>0.78646101800628598</v>
      </c>
      <c r="B55" s="1">
        <f t="shared" si="3"/>
        <v>0.77836348603890604</v>
      </c>
      <c r="C55" s="1">
        <f t="shared" si="0"/>
        <v>-4.0185020514072241</v>
      </c>
      <c r="D55" s="1">
        <f t="shared" si="1"/>
        <v>5.5752290234850355</v>
      </c>
      <c r="E55" s="1">
        <f t="shared" si="4"/>
        <v>0.544252345373339</v>
      </c>
      <c r="F55" s="1">
        <f t="shared" si="5"/>
        <v>1.0124746267044731</v>
      </c>
      <c r="G55" s="1">
        <f t="shared" si="6"/>
        <v>1.1133444966595401</v>
      </c>
      <c r="H55" s="1">
        <f t="shared" si="7"/>
        <v>0.33630976785623601</v>
      </c>
      <c r="I55" s="1">
        <f t="shared" si="8"/>
        <v>1.8903792254628442</v>
      </c>
      <c r="J55" s="1">
        <f t="shared" si="9"/>
        <v>0.3623567071907271</v>
      </c>
      <c r="K55" s="1">
        <f t="shared" si="10"/>
        <v>1.8643322861283531</v>
      </c>
      <c r="L55" s="1">
        <f t="shared" si="11"/>
        <v>0.92641252829644605</v>
      </c>
      <c r="M55" s="1">
        <f t="shared" si="12"/>
        <v>-0.46394605290481394</v>
      </c>
      <c r="N55" s="1">
        <f t="shared" si="13"/>
        <v>2.3167711094977061</v>
      </c>
      <c r="O55" s="1">
        <f t="shared" si="14"/>
        <v>0.54563311871406206</v>
      </c>
      <c r="P55" s="1">
        <f t="shared" si="15"/>
        <v>1.3071919378788301</v>
      </c>
    </row>
    <row r="56" spans="1:16" x14ac:dyDescent="0.25">
      <c r="A56" s="1">
        <f t="shared" si="2"/>
        <v>0.82785370316449203</v>
      </c>
      <c r="B56" s="1">
        <f t="shared" si="3"/>
        <v>0.79650300533156304</v>
      </c>
      <c r="C56" s="1">
        <f t="shared" si="0"/>
        <v>-4.4594002358352967</v>
      </c>
      <c r="D56" s="1">
        <f t="shared" si="1"/>
        <v>6.052406246498423</v>
      </c>
      <c r="E56" s="1">
        <f t="shared" si="4"/>
        <v>0.55984665988580706</v>
      </c>
      <c r="F56" s="1">
        <f t="shared" si="5"/>
        <v>1.0331593507773191</v>
      </c>
      <c r="G56" s="1">
        <f t="shared" si="6"/>
        <v>1.18988323453573</v>
      </c>
      <c r="H56" s="1">
        <f t="shared" si="7"/>
        <v>0.33314259299383697</v>
      </c>
      <c r="I56" s="1">
        <f t="shared" si="8"/>
        <v>2.0466238760776232</v>
      </c>
      <c r="J56" s="1">
        <f t="shared" si="9"/>
        <v>0.39725420066158701</v>
      </c>
      <c r="K56" s="1">
        <f t="shared" si="10"/>
        <v>1.9825122684098728</v>
      </c>
      <c r="L56" s="1">
        <f t="shared" si="11"/>
        <v>0.96366909383228005</v>
      </c>
      <c r="M56" s="1">
        <f t="shared" si="12"/>
        <v>-0.51425523845181997</v>
      </c>
      <c r="N56" s="1">
        <f t="shared" si="13"/>
        <v>2.4415934261163801</v>
      </c>
      <c r="O56" s="1">
        <f t="shared" si="14"/>
        <v>0.59336191105547709</v>
      </c>
      <c r="P56" s="1">
        <f t="shared" si="15"/>
        <v>1.333976276609083</v>
      </c>
    </row>
    <row r="57" spans="1:16" x14ac:dyDescent="0.25">
      <c r="A57" s="1">
        <f t="shared" si="2"/>
        <v>0.86924638832272205</v>
      </c>
      <c r="B57" s="1">
        <f t="shared" si="3"/>
        <v>0.82885241111354901</v>
      </c>
      <c r="C57" s="1">
        <f t="shared" si="0"/>
        <v>-4.9840171181201809</v>
      </c>
      <c r="D57" s="1">
        <f t="shared" si="1"/>
        <v>6.6417219403472787</v>
      </c>
      <c r="E57" s="1">
        <f t="shared" si="4"/>
        <v>0.59223442667047799</v>
      </c>
      <c r="F57" s="1">
        <f t="shared" si="5"/>
        <v>1.06547039555662</v>
      </c>
      <c r="G57" s="1">
        <f t="shared" si="6"/>
        <v>1.1851682338646901</v>
      </c>
      <c r="H57" s="1">
        <f t="shared" si="7"/>
        <v>0.33927227481830502</v>
      </c>
      <c r="I57" s="1">
        <f t="shared" si="8"/>
        <v>2.0310641929110753</v>
      </c>
      <c r="J57" s="1">
        <f t="shared" si="9"/>
        <v>0.41590298937698911</v>
      </c>
      <c r="K57" s="1">
        <f t="shared" si="10"/>
        <v>1.9544334783523909</v>
      </c>
      <c r="L57" s="1">
        <f t="shared" si="11"/>
        <v>0.97203116597077299</v>
      </c>
      <c r="M57" s="1">
        <f t="shared" si="12"/>
        <v>-0.52719125586487703</v>
      </c>
      <c r="N57" s="1">
        <f t="shared" si="13"/>
        <v>2.471253587806423</v>
      </c>
      <c r="O57" s="1">
        <f t="shared" si="14"/>
        <v>0.60572863666069798</v>
      </c>
      <c r="P57" s="1">
        <f t="shared" si="15"/>
        <v>1.338333695280848</v>
      </c>
    </row>
    <row r="58" spans="1:16" x14ac:dyDescent="0.25">
      <c r="A58" s="1">
        <f t="shared" si="2"/>
        <v>0.91063907348097095</v>
      </c>
      <c r="B58" s="1">
        <f t="shared" si="3"/>
        <v>0.859334998656058</v>
      </c>
      <c r="C58" s="1">
        <f t="shared" si="0"/>
        <v>-5.5904957036958125</v>
      </c>
      <c r="D58" s="1">
        <f t="shared" si="1"/>
        <v>7.3091657010079283</v>
      </c>
      <c r="E58" s="1">
        <f t="shared" si="4"/>
        <v>0.63290052963156995</v>
      </c>
      <c r="F58" s="1">
        <f t="shared" si="5"/>
        <v>1.0857694676805461</v>
      </c>
      <c r="G58" s="1">
        <f t="shared" si="6"/>
        <v>1.25411026508918</v>
      </c>
      <c r="H58" s="1">
        <f t="shared" si="7"/>
        <v>0.33655036172167097</v>
      </c>
      <c r="I58" s="1">
        <f t="shared" si="8"/>
        <v>2.1716701684566893</v>
      </c>
      <c r="J58" s="1">
        <f t="shared" si="9"/>
        <v>0.45763048433414699</v>
      </c>
      <c r="K58" s="1">
        <f t="shared" si="10"/>
        <v>2.050590045844213</v>
      </c>
      <c r="L58" s="1">
        <f t="shared" si="11"/>
        <v>1.01177519124606</v>
      </c>
      <c r="M58" s="1">
        <f t="shared" si="12"/>
        <v>-0.65772410603253006</v>
      </c>
      <c r="N58" s="1">
        <f t="shared" si="13"/>
        <v>2.6812744885246502</v>
      </c>
      <c r="O58" s="1">
        <f t="shared" si="14"/>
        <v>0.63980359826196298</v>
      </c>
      <c r="P58" s="1">
        <f t="shared" si="15"/>
        <v>1.383746784230157</v>
      </c>
    </row>
    <row r="59" spans="1:16" x14ac:dyDescent="0.25">
      <c r="A59" s="1">
        <f t="shared" si="2"/>
        <v>0.95203175863915301</v>
      </c>
      <c r="B59" s="1">
        <f t="shared" si="3"/>
        <v>0.869819487024863</v>
      </c>
      <c r="C59" s="1">
        <f t="shared" si="0"/>
        <v>-5.2828782450255272</v>
      </c>
      <c r="D59" s="1">
        <f t="shared" si="1"/>
        <v>7.0225172190752527</v>
      </c>
      <c r="E59" s="1">
        <f t="shared" si="4"/>
        <v>0.66960023019041703</v>
      </c>
      <c r="F59" s="1">
        <f t="shared" si="5"/>
        <v>1.0700387438593091</v>
      </c>
      <c r="G59" s="1">
        <f t="shared" si="6"/>
        <v>1.24652682252845</v>
      </c>
      <c r="H59" s="1">
        <f t="shared" si="7"/>
        <v>0.33855619777736201</v>
      </c>
      <c r="I59" s="1">
        <f t="shared" si="8"/>
        <v>2.154497447279538</v>
      </c>
      <c r="J59" s="1">
        <f t="shared" si="9"/>
        <v>0.45752950436541806</v>
      </c>
      <c r="K59" s="1">
        <f t="shared" si="10"/>
        <v>2.0355241406914821</v>
      </c>
      <c r="L59" s="1">
        <f t="shared" si="11"/>
        <v>1.00837874185349</v>
      </c>
      <c r="M59" s="1">
        <f t="shared" si="12"/>
        <v>-0.61210952062673996</v>
      </c>
      <c r="N59" s="1">
        <f t="shared" si="13"/>
        <v>2.6288670043337197</v>
      </c>
      <c r="O59" s="1">
        <f t="shared" si="14"/>
        <v>0.64613669056161704</v>
      </c>
      <c r="P59" s="1">
        <f t="shared" si="15"/>
        <v>1.3706207931453629</v>
      </c>
    </row>
    <row r="60" spans="1:16" x14ac:dyDescent="0.25">
      <c r="A60" s="1">
        <f t="shared" si="2"/>
        <v>0.99342444379738704</v>
      </c>
      <c r="B60" s="1">
        <f t="shared" si="3"/>
        <v>0.86713556354552701</v>
      </c>
      <c r="C60" s="1">
        <f t="shared" si="0"/>
        <v>-5.2486910084138829</v>
      </c>
      <c r="D60" s="1">
        <f t="shared" si="1"/>
        <v>6.9829621355049367</v>
      </c>
      <c r="E60" s="1">
        <f t="shared" si="4"/>
        <v>0.67776712036837505</v>
      </c>
      <c r="F60" s="1">
        <f t="shared" si="5"/>
        <v>1.056504006722679</v>
      </c>
      <c r="G60" s="1">
        <f t="shared" si="6"/>
        <v>1.3384625391373699</v>
      </c>
      <c r="H60" s="1">
        <f t="shared" si="7"/>
        <v>0.33012763402323997</v>
      </c>
      <c r="I60" s="1">
        <f t="shared" si="8"/>
        <v>2.3467974442515001</v>
      </c>
      <c r="J60" s="1">
        <f t="shared" si="9"/>
        <v>0.50523344279090088</v>
      </c>
      <c r="K60" s="1">
        <f t="shared" si="10"/>
        <v>2.1716916354838389</v>
      </c>
      <c r="L60" s="1">
        <f t="shared" si="11"/>
        <v>1.0508560338749899</v>
      </c>
      <c r="M60" s="1">
        <f t="shared" si="12"/>
        <v>-0.77176647614996008</v>
      </c>
      <c r="N60" s="1">
        <f t="shared" si="13"/>
        <v>2.8734785438999397</v>
      </c>
      <c r="O60" s="1">
        <f t="shared" si="14"/>
        <v>0.68495397425866988</v>
      </c>
      <c r="P60" s="1">
        <f t="shared" si="15"/>
        <v>1.41675809349131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zoomScaleNormal="100" workbookViewId="0">
      <selection activeCell="G23" sqref="G23"/>
    </sheetView>
  </sheetViews>
  <sheetFormatPr defaultColWidth="10.7109375" defaultRowHeight="15" x14ac:dyDescent="0.25"/>
  <cols>
    <col min="1" max="1" width="10.7109375" style="1"/>
    <col min="2" max="2" width="10.7109375" style="1" customWidth="1"/>
    <col min="3" max="16384" width="10.7109375" style="1"/>
  </cols>
  <sheetData>
    <row r="1" spans="1:17" x14ac:dyDescent="0.25">
      <c r="A1" s="1" t="s">
        <v>0</v>
      </c>
      <c r="B1" s="9">
        <v>256</v>
      </c>
      <c r="C1" s="9"/>
    </row>
    <row r="2" spans="1:17" x14ac:dyDescent="0.25">
      <c r="A2" s="1" t="s">
        <v>1</v>
      </c>
      <c r="B2" s="9">
        <v>100</v>
      </c>
      <c r="C2" s="9"/>
    </row>
    <row r="3" spans="1:17" x14ac:dyDescent="0.25">
      <c r="A3" s="1" t="s">
        <v>2</v>
      </c>
      <c r="B3" s="9">
        <v>1</v>
      </c>
      <c r="C3" s="9"/>
    </row>
    <row r="4" spans="1:17" x14ac:dyDescent="0.25">
      <c r="A4" s="1" t="s">
        <v>3</v>
      </c>
      <c r="B4" s="9">
        <v>10</v>
      </c>
      <c r="C4" s="9"/>
    </row>
    <row r="5" spans="1:17" x14ac:dyDescent="0.25">
      <c r="A5" s="1" t="s">
        <v>4</v>
      </c>
      <c r="B5" s="10">
        <v>1.1000000000000001</v>
      </c>
      <c r="C5" s="10"/>
    </row>
    <row r="6" spans="1:17" x14ac:dyDescent="0.25">
      <c r="A6" s="1" t="s">
        <v>5</v>
      </c>
      <c r="B6" s="10">
        <v>5.5100000000000003E-2</v>
      </c>
      <c r="C6" s="10"/>
    </row>
    <row r="7" spans="1:17" x14ac:dyDescent="0.25">
      <c r="A7" s="1" t="s">
        <v>6</v>
      </c>
      <c r="B7" s="8">
        <v>161803398874989</v>
      </c>
      <c r="C7" s="8"/>
    </row>
    <row r="10" spans="1:17" x14ac:dyDescent="0.25">
      <c r="A10" t="s">
        <v>7</v>
      </c>
      <c r="B10" t="s">
        <v>40</v>
      </c>
      <c r="C10" t="s">
        <v>9</v>
      </c>
      <c r="D10" t="s">
        <v>41</v>
      </c>
      <c r="E10" t="s">
        <v>11</v>
      </c>
      <c r="F10" t="s">
        <v>12</v>
      </c>
      <c r="G10" t="s">
        <v>13</v>
      </c>
      <c r="H10" t="s">
        <v>42</v>
      </c>
      <c r="I10" t="s">
        <v>15</v>
      </c>
      <c r="J10" t="s">
        <v>16</v>
      </c>
      <c r="K10" t="s">
        <v>17</v>
      </c>
      <c r="L10" t="s">
        <v>43</v>
      </c>
      <c r="M10" t="s">
        <v>19</v>
      </c>
      <c r="N10" t="s">
        <v>20</v>
      </c>
      <c r="O10" s="2" t="s">
        <v>38</v>
      </c>
      <c r="P10" s="2" t="s">
        <v>39</v>
      </c>
      <c r="Q10" s="1" t="s">
        <v>36</v>
      </c>
    </row>
    <row r="11" spans="1:17" x14ac:dyDescent="0.25">
      <c r="A11">
        <v>1.1000000000000001</v>
      </c>
      <c r="B11">
        <v>4.1392685158224501E-2</v>
      </c>
      <c r="C11">
        <v>1.1437889830152399</v>
      </c>
      <c r="D11">
        <v>5.8288408925496402E-2</v>
      </c>
      <c r="E11" s="14">
        <v>9.6314156945683796E-7</v>
      </c>
      <c r="F11">
        <v>7.0587562563551197E-3</v>
      </c>
      <c r="G11">
        <v>1.14376923744104</v>
      </c>
      <c r="H11">
        <v>5.8281713588902599E-2</v>
      </c>
      <c r="I11">
        <v>5.7265412021359399E-3</v>
      </c>
      <c r="J11">
        <v>7.0094560720320503E-3</v>
      </c>
      <c r="K11">
        <v>1.17117000000001</v>
      </c>
      <c r="L11">
        <v>6.8173752455596301E-2</v>
      </c>
      <c r="M11">
        <v>7.4408757032879804E-3</v>
      </c>
      <c r="N11">
        <v>1.97915746640502E-2</v>
      </c>
      <c r="O11" s="2">
        <v>1000</v>
      </c>
      <c r="P11" s="2">
        <v>0</v>
      </c>
      <c r="Q11" s="1">
        <v>0</v>
      </c>
    </row>
    <row r="12" spans="1:17" x14ac:dyDescent="0.25">
      <c r="A12">
        <v>1.21000000000001</v>
      </c>
      <c r="B12">
        <v>8.2785370316449003E-2</v>
      </c>
      <c r="C12">
        <v>1.27696518774815</v>
      </c>
      <c r="D12">
        <v>0.105903246893125</v>
      </c>
      <c r="E12" s="14">
        <v>5.5049115437919602E-6</v>
      </c>
      <c r="F12">
        <v>1.54186522551696E-2</v>
      </c>
      <c r="G12">
        <v>1.2767289807020801</v>
      </c>
      <c r="H12">
        <v>0.105835403299314</v>
      </c>
      <c r="I12">
        <v>1.4043142611620299E-2</v>
      </c>
      <c r="J12">
        <v>1.5072203675928E-2</v>
      </c>
      <c r="K12">
        <v>1.2909489999999899</v>
      </c>
      <c r="L12">
        <v>0.110394291316984</v>
      </c>
      <c r="M12">
        <v>1.50519071585736E-2</v>
      </c>
      <c r="N12">
        <v>2.1202324629003299E-2</v>
      </c>
      <c r="O12" s="2">
        <v>1000</v>
      </c>
      <c r="P12" s="2">
        <v>0</v>
      </c>
      <c r="Q12" s="1">
        <v>0</v>
      </c>
    </row>
    <row r="13" spans="1:17" x14ac:dyDescent="0.25">
      <c r="A13">
        <v>1.33099999999998</v>
      </c>
      <c r="B13">
        <v>0.124178055474673</v>
      </c>
      <c r="C13">
        <v>1.4349272198463801</v>
      </c>
      <c r="D13">
        <v>0.155638864005856</v>
      </c>
      <c r="E13" s="14">
        <v>1.2119702551013E-5</v>
      </c>
      <c r="F13">
        <v>3.1682014508012397E-2</v>
      </c>
      <c r="G13">
        <v>1.4282618602600501</v>
      </c>
      <c r="H13">
        <v>0.153885771495746</v>
      </c>
      <c r="I13">
        <v>2.4734886586070499E-2</v>
      </c>
      <c r="J13">
        <v>2.8014982025138E-2</v>
      </c>
      <c r="K13">
        <v>1.4327807471999801</v>
      </c>
      <c r="L13">
        <v>0.15509839128786901</v>
      </c>
      <c r="M13">
        <v>2.50661444603421E-2</v>
      </c>
      <c r="N13">
        <v>3.0404062230470701E-2</v>
      </c>
      <c r="O13" s="2">
        <v>1000</v>
      </c>
      <c r="P13" s="2">
        <v>0</v>
      </c>
      <c r="Q13" s="1">
        <v>0</v>
      </c>
    </row>
    <row r="14" spans="1:17" x14ac:dyDescent="0.25">
      <c r="A14">
        <v>1.46409999999998</v>
      </c>
      <c r="B14">
        <v>0.16557074063289801</v>
      </c>
      <c r="C14">
        <v>1.60639255658133</v>
      </c>
      <c r="D14">
        <v>0.20320078663319899</v>
      </c>
      <c r="E14" s="14">
        <v>2.24823065138928E-4</v>
      </c>
      <c r="F14">
        <v>4.6948802833875501E-2</v>
      </c>
      <c r="G14">
        <v>1.5818838766605099</v>
      </c>
      <c r="H14">
        <v>0.19734791520401301</v>
      </c>
      <c r="I14">
        <v>3.6004333936772097E-2</v>
      </c>
      <c r="J14">
        <v>3.9235303540688299E-2</v>
      </c>
      <c r="K14">
        <v>1.5849150050798</v>
      </c>
      <c r="L14">
        <v>0.19816719454607201</v>
      </c>
      <c r="M14">
        <v>3.6212065381976799E-2</v>
      </c>
      <c r="N14">
        <v>3.9470177489814698E-2</v>
      </c>
      <c r="O14" s="2">
        <v>1000</v>
      </c>
      <c r="P14" s="2">
        <v>0</v>
      </c>
      <c r="Q14" s="1">
        <v>0</v>
      </c>
    </row>
    <row r="15" spans="1:17" x14ac:dyDescent="0.25">
      <c r="A15">
        <v>1.6105099999999799</v>
      </c>
      <c r="B15">
        <v>0.20696342579112301</v>
      </c>
      <c r="C15">
        <v>1.84247523495799</v>
      </c>
      <c r="D15">
        <v>0.25845534290239802</v>
      </c>
      <c r="E15">
        <v>3.5893506898135399E-3</v>
      </c>
      <c r="F15">
        <v>7.2918232244257794E-2</v>
      </c>
      <c r="G15">
        <v>1.78943024926755</v>
      </c>
      <c r="H15">
        <v>0.24868574068635901</v>
      </c>
      <c r="I15">
        <v>5.11692075921776E-2</v>
      </c>
      <c r="J15">
        <v>5.7344421115191398E-2</v>
      </c>
      <c r="K15">
        <v>1.7836258313417801</v>
      </c>
      <c r="L15">
        <v>0.24735048161623299</v>
      </c>
      <c r="M15">
        <v>5.0714267043207702E-2</v>
      </c>
      <c r="N15">
        <v>5.6780969466192703E-2</v>
      </c>
      <c r="O15" s="2">
        <v>1000</v>
      </c>
      <c r="P15" s="2">
        <v>0</v>
      </c>
      <c r="Q15" s="1">
        <v>0</v>
      </c>
    </row>
    <row r="16" spans="1:17" x14ac:dyDescent="0.25">
      <c r="A16">
        <v>1.7715610000000099</v>
      </c>
      <c r="B16">
        <v>0.24835611094934601</v>
      </c>
      <c r="C16">
        <v>2.1207129693336801</v>
      </c>
      <c r="D16">
        <v>0.31556913587406998</v>
      </c>
      <c r="E16">
        <v>1.32399319823053E-2</v>
      </c>
      <c r="F16">
        <v>9.22917653844849E-2</v>
      </c>
      <c r="G16">
        <v>2.0062911519503399</v>
      </c>
      <c r="H16">
        <v>0.296300464933198</v>
      </c>
      <c r="I16">
        <v>6.6636039738136005E-2</v>
      </c>
      <c r="J16">
        <v>7.0525232919828706E-2</v>
      </c>
      <c r="K16">
        <v>1.99483801940299</v>
      </c>
      <c r="L16">
        <v>0.29373394564248601</v>
      </c>
      <c r="M16">
        <v>6.5781612721366206E-2</v>
      </c>
      <c r="N16">
        <v>7.0963594970051697E-2</v>
      </c>
      <c r="O16" s="2">
        <v>1000</v>
      </c>
      <c r="P16" s="2">
        <v>0</v>
      </c>
      <c r="Q16" s="1">
        <v>0</v>
      </c>
    </row>
    <row r="17" spans="1:17" x14ac:dyDescent="0.25">
      <c r="A17">
        <v>1.9487171000000201</v>
      </c>
      <c r="B17">
        <v>0.28974879610757398</v>
      </c>
      <c r="C17">
        <v>2.4605044605163902</v>
      </c>
      <c r="D17">
        <v>0.37256638820068699</v>
      </c>
      <c r="E17">
        <v>3.4815609576993298E-2</v>
      </c>
      <c r="F17">
        <v>0.11846015185153599</v>
      </c>
      <c r="G17">
        <v>2.2881647077315699</v>
      </c>
      <c r="H17">
        <v>0.34844203971183402</v>
      </c>
      <c r="I17">
        <v>8.5391203442529803E-2</v>
      </c>
      <c r="J17">
        <v>9.2904389770724405E-2</v>
      </c>
      <c r="K17">
        <v>2.2730538888462601</v>
      </c>
      <c r="L17">
        <v>0.34569989101829401</v>
      </c>
      <c r="M17">
        <v>8.4343160617200805E-2</v>
      </c>
      <c r="N17">
        <v>9.2679582785746201E-2</v>
      </c>
      <c r="O17" s="2">
        <v>1000</v>
      </c>
      <c r="P17" s="2">
        <v>0</v>
      </c>
      <c r="Q17" s="1">
        <v>0</v>
      </c>
    </row>
    <row r="18" spans="1:17" x14ac:dyDescent="0.25">
      <c r="A18">
        <v>2.1435888099999798</v>
      </c>
      <c r="B18">
        <v>0.33114148126579601</v>
      </c>
      <c r="C18">
        <v>2.82084344554336</v>
      </c>
      <c r="D18">
        <v>0.42318483395920597</v>
      </c>
      <c r="E18">
        <v>6.9345073098336693E-2</v>
      </c>
      <c r="F18">
        <v>0.141956727818567</v>
      </c>
      <c r="G18">
        <v>2.6043585070075901</v>
      </c>
      <c r="H18">
        <v>0.39546403618021903</v>
      </c>
      <c r="I18">
        <v>0.103855838698487</v>
      </c>
      <c r="J18">
        <v>0.118623340268809</v>
      </c>
      <c r="K18">
        <v>2.5965908168309602</v>
      </c>
      <c r="L18">
        <v>0.39230449745691398</v>
      </c>
      <c r="M18">
        <v>0.10225317507699699</v>
      </c>
      <c r="N18">
        <v>0.120759511771122</v>
      </c>
      <c r="O18" s="2">
        <v>1000</v>
      </c>
      <c r="P18" s="2">
        <v>0</v>
      </c>
      <c r="Q18" s="1">
        <v>0</v>
      </c>
    </row>
    <row r="19" spans="1:17" x14ac:dyDescent="0.25">
      <c r="A19">
        <v>2.3579476909999699</v>
      </c>
      <c r="B19">
        <v>0.37253416642402998</v>
      </c>
      <c r="C19">
        <v>3.2969135256797899</v>
      </c>
      <c r="D19">
        <v>0.47654138250486</v>
      </c>
      <c r="E19">
        <v>0.15304656912023401</v>
      </c>
      <c r="F19">
        <v>0.17445695290923499</v>
      </c>
      <c r="G19">
        <v>3.0713321980674402</v>
      </c>
      <c r="H19">
        <v>0.44663393615039898</v>
      </c>
      <c r="I19">
        <v>0.12544872594585799</v>
      </c>
      <c r="J19">
        <v>0.148622846068454</v>
      </c>
      <c r="K19">
        <v>2.9599461572251302</v>
      </c>
      <c r="L19">
        <v>0.44200201883064999</v>
      </c>
      <c r="M19">
        <v>0.12589421699169701</v>
      </c>
      <c r="N19">
        <v>0.141842012104406</v>
      </c>
      <c r="O19" s="2">
        <v>1000</v>
      </c>
      <c r="P19" s="2">
        <v>0</v>
      </c>
      <c r="Q19" s="1">
        <v>0</v>
      </c>
    </row>
    <row r="20" spans="1:17" x14ac:dyDescent="0.25">
      <c r="A20">
        <v>2.5937424601000201</v>
      </c>
      <c r="B20">
        <v>0.41392685158224601</v>
      </c>
      <c r="C20">
        <v>3.68374654658186</v>
      </c>
      <c r="D20">
        <v>0.52416479441473895</v>
      </c>
      <c r="E20">
        <v>0.21262875685744601</v>
      </c>
      <c r="F20">
        <v>0.177877131337252</v>
      </c>
      <c r="G20">
        <v>3.5410668255935298</v>
      </c>
      <c r="H20">
        <v>0.497569860739349</v>
      </c>
      <c r="I20">
        <v>0.14799980232377799</v>
      </c>
      <c r="J20">
        <v>0.17254038055943899</v>
      </c>
      <c r="K20">
        <v>3.4705521542080202</v>
      </c>
      <c r="L20">
        <v>0.49334019446933802</v>
      </c>
      <c r="M20">
        <v>0.14664619705304099</v>
      </c>
      <c r="N20">
        <v>0.17229238572009101</v>
      </c>
      <c r="O20" s="2">
        <v>1000</v>
      </c>
      <c r="P20" s="2">
        <v>0</v>
      </c>
      <c r="Q20" s="1">
        <v>0</v>
      </c>
    </row>
    <row r="21" spans="1:17" x14ac:dyDescent="0.25">
      <c r="A21">
        <v>2.85311670611005</v>
      </c>
      <c r="B21">
        <v>0.45531953674048498</v>
      </c>
      <c r="C21">
        <v>4.1761975219879899</v>
      </c>
      <c r="D21">
        <v>0.57548849258791601</v>
      </c>
      <c r="E21">
        <v>0.33183524581886098</v>
      </c>
      <c r="F21">
        <v>0.18827501188488199</v>
      </c>
      <c r="G21">
        <v>4.0688255541644898</v>
      </c>
      <c r="H21">
        <v>0.55187107333742103</v>
      </c>
      <c r="I21">
        <v>0.172665456473375</v>
      </c>
      <c r="J21">
        <v>0.18713381286817399</v>
      </c>
      <c r="K21">
        <v>3.9828809764304598</v>
      </c>
      <c r="L21">
        <v>0.54746040430822096</v>
      </c>
      <c r="M21">
        <v>0.17098353778651701</v>
      </c>
      <c r="N21">
        <v>0.18607407577696999</v>
      </c>
      <c r="O21" s="2">
        <v>1000</v>
      </c>
      <c r="P21" s="2">
        <v>0</v>
      </c>
      <c r="Q21" s="1">
        <v>0</v>
      </c>
    </row>
    <row r="22" spans="1:17" x14ac:dyDescent="0.25">
      <c r="A22">
        <v>3.1384283767210501</v>
      </c>
      <c r="B22">
        <v>0.49671222189869302</v>
      </c>
      <c r="C22">
        <v>4.4525091013006701</v>
      </c>
      <c r="D22">
        <v>0.60430977875801795</v>
      </c>
      <c r="E22">
        <v>0.36766578920389897</v>
      </c>
      <c r="F22">
        <v>0.187268042506539</v>
      </c>
      <c r="G22">
        <v>4.83143645300592</v>
      </c>
      <c r="H22">
        <v>0.60199592793636902</v>
      </c>
      <c r="I22">
        <v>0.19758658769149001</v>
      </c>
      <c r="J22">
        <v>0.21657931238111999</v>
      </c>
      <c r="K22">
        <v>4.5949109162008197</v>
      </c>
      <c r="L22">
        <v>0.59500735280571904</v>
      </c>
      <c r="M22">
        <v>0.194401854689809</v>
      </c>
      <c r="N22">
        <v>0.209668432378006</v>
      </c>
      <c r="O22" s="2">
        <v>1000</v>
      </c>
      <c r="P22" s="2">
        <v>0</v>
      </c>
      <c r="Q22" s="1">
        <v>0</v>
      </c>
    </row>
    <row r="23" spans="1:17" x14ac:dyDescent="0.25">
      <c r="A23">
        <v>3.4522712143930399</v>
      </c>
      <c r="B23">
        <v>0.53810490705693204</v>
      </c>
      <c r="C23">
        <v>5.0208039825223496</v>
      </c>
      <c r="D23">
        <v>0.64870893189161305</v>
      </c>
      <c r="E23">
        <v>0.56548314771514196</v>
      </c>
      <c r="F23">
        <v>0.204119486377179</v>
      </c>
      <c r="G23">
        <v>8.1523592337134598</v>
      </c>
      <c r="H23">
        <v>0.65964033321118998</v>
      </c>
      <c r="I23">
        <v>0.22924858171419199</v>
      </c>
      <c r="J23">
        <v>0.27215901615147903</v>
      </c>
      <c r="K23">
        <v>5.3134889474943199</v>
      </c>
      <c r="L23">
        <v>0.64524980762047901</v>
      </c>
      <c r="M23">
        <v>0.22030423410546199</v>
      </c>
      <c r="N23">
        <v>0.2324186483008</v>
      </c>
      <c r="O23" s="2">
        <v>1000</v>
      </c>
      <c r="P23" s="2">
        <v>0</v>
      </c>
      <c r="Q23" s="1">
        <v>0</v>
      </c>
    </row>
    <row r="24" spans="1:17" x14ac:dyDescent="0.25">
      <c r="A24">
        <v>3.79749833583231</v>
      </c>
      <c r="B24">
        <v>0.57949759221514796</v>
      </c>
      <c r="C24">
        <v>5.3765579155089398</v>
      </c>
      <c r="D24">
        <v>0.68232102472980205</v>
      </c>
      <c r="E24">
        <v>0.64308743451232797</v>
      </c>
      <c r="F24">
        <v>0.197752255952203</v>
      </c>
      <c r="G24">
        <v>1273.07229450212</v>
      </c>
      <c r="H24">
        <v>0.70862172397541201</v>
      </c>
      <c r="I24">
        <v>0.25721837948868098</v>
      </c>
      <c r="J24">
        <v>0.32575966620545999</v>
      </c>
      <c r="K24">
        <v>5.96855474915166</v>
      </c>
      <c r="L24">
        <v>0.69038871633241194</v>
      </c>
      <c r="M24">
        <v>0.23973096703920699</v>
      </c>
      <c r="N24">
        <v>0.24348317610843301</v>
      </c>
      <c r="O24" s="2">
        <v>1000</v>
      </c>
      <c r="P24" s="2">
        <v>0</v>
      </c>
      <c r="Q24" s="1">
        <v>0</v>
      </c>
    </row>
    <row r="25" spans="1:17" x14ac:dyDescent="0.25">
      <c r="A25">
        <v>4.1772481694156403</v>
      </c>
      <c r="B25">
        <v>0.62089027737336999</v>
      </c>
      <c r="C25">
        <v>5.7391745251954802</v>
      </c>
      <c r="D25">
        <v>0.70730297504648498</v>
      </c>
      <c r="E25">
        <v>0.78345630935201005</v>
      </c>
      <c r="F25">
        <v>0.205640339153247</v>
      </c>
      <c r="G25">
        <v>18.087192830267998</v>
      </c>
      <c r="H25">
        <v>0.79682199164342504</v>
      </c>
      <c r="I25">
        <v>0.30967636235435397</v>
      </c>
      <c r="J25">
        <v>0.37948748185134201</v>
      </c>
      <c r="K25">
        <v>7.4624121671957697</v>
      </c>
      <c r="L25">
        <v>0.76318956842706098</v>
      </c>
      <c r="M25">
        <v>0.27509261336680702</v>
      </c>
      <c r="N25">
        <v>0.28527459948140999</v>
      </c>
      <c r="O25" s="2">
        <v>1000</v>
      </c>
      <c r="P25" s="2">
        <v>0</v>
      </c>
      <c r="Q25" s="1">
        <v>0</v>
      </c>
    </row>
    <row r="26" spans="1:17" x14ac:dyDescent="0.25">
      <c r="A26">
        <v>4.5949729863572504</v>
      </c>
      <c r="B26">
        <v>0.66228296253159202</v>
      </c>
      <c r="C26">
        <v>6.0998355457668998</v>
      </c>
      <c r="D26">
        <v>0.72655772815985598</v>
      </c>
      <c r="E26">
        <v>1.03808888871325</v>
      </c>
      <c r="F26">
        <v>0.22146297465366199</v>
      </c>
      <c r="G26">
        <v>1291.1441120219999</v>
      </c>
      <c r="H26">
        <v>0.85369837529557702</v>
      </c>
      <c r="I26">
        <v>0.34843466861562999</v>
      </c>
      <c r="J26">
        <v>0.45759229205243801</v>
      </c>
      <c r="K26">
        <v>8.2072228827399094</v>
      </c>
      <c r="L26">
        <v>0.80157158898516101</v>
      </c>
      <c r="M26">
        <v>0.28717376344206003</v>
      </c>
      <c r="N26">
        <v>0.29278385477795699</v>
      </c>
      <c r="O26" s="2">
        <v>1000</v>
      </c>
      <c r="P26" s="2">
        <v>0</v>
      </c>
      <c r="Q26" s="1">
        <v>0</v>
      </c>
    </row>
    <row r="27" spans="1:17" x14ac:dyDescent="0.25">
      <c r="A27">
        <v>5.0544702849929299</v>
      </c>
      <c r="B27">
        <v>0.70367564768981405</v>
      </c>
      <c r="C27">
        <v>6.3299166377909</v>
      </c>
      <c r="D27">
        <v>0.74920258590203104</v>
      </c>
      <c r="E27">
        <v>1.02261374027437</v>
      </c>
      <c r="F27">
        <v>0.20856541133074999</v>
      </c>
      <c r="G27">
        <v>5081.4979298907501</v>
      </c>
      <c r="H27">
        <v>0.89018060558976497</v>
      </c>
      <c r="I27">
        <v>0.37570130124604301</v>
      </c>
      <c r="J27">
        <v>0.52758478008978005</v>
      </c>
      <c r="K27">
        <v>8.7119259597782204</v>
      </c>
      <c r="L27">
        <v>0.82823363786858295</v>
      </c>
      <c r="M27">
        <v>0.29578986378115002</v>
      </c>
      <c r="N27">
        <v>0.29487477977485799</v>
      </c>
      <c r="O27" s="2">
        <v>1000</v>
      </c>
      <c r="P27" s="2">
        <v>0</v>
      </c>
      <c r="Q27" s="1">
        <v>0</v>
      </c>
    </row>
    <row r="28" spans="1:17" x14ac:dyDescent="0.25">
      <c r="A28">
        <v>5.5599173134923303</v>
      </c>
      <c r="B28">
        <v>0.74506833284806095</v>
      </c>
      <c r="C28">
        <v>6.7922815679499902</v>
      </c>
      <c r="D28">
        <v>0.77484718354795101</v>
      </c>
      <c r="E28">
        <v>1.4005134106960599</v>
      </c>
      <c r="F28">
        <v>0.21597109013594701</v>
      </c>
      <c r="G28">
        <v>6348.8557505026101</v>
      </c>
      <c r="H28">
        <v>0.96677541719554505</v>
      </c>
      <c r="I28">
        <v>0.42496304836415</v>
      </c>
      <c r="J28">
        <v>0.56719803349289799</v>
      </c>
      <c r="K28">
        <v>9.9455869743274796</v>
      </c>
      <c r="L28">
        <v>0.886611995124993</v>
      </c>
      <c r="M28">
        <v>0.32543089341145898</v>
      </c>
      <c r="N28">
        <v>0.300919947844001</v>
      </c>
      <c r="O28" s="2">
        <v>1000</v>
      </c>
      <c r="P28" s="2">
        <v>0</v>
      </c>
      <c r="Q28" s="1">
        <v>0</v>
      </c>
    </row>
    <row r="29" spans="1:17" x14ac:dyDescent="0.25">
      <c r="A29">
        <v>6.1159090448415396</v>
      </c>
      <c r="B29">
        <v>0.78646101800628598</v>
      </c>
      <c r="C29">
        <v>6.5305613687811803</v>
      </c>
      <c r="D29">
        <v>0.75664213613069897</v>
      </c>
      <c r="E29">
        <v>1.24938049404963</v>
      </c>
      <c r="F29">
        <v>0.21420489753678201</v>
      </c>
      <c r="G29">
        <v>12675.040332606401</v>
      </c>
      <c r="H29">
        <v>1.0322010587135499</v>
      </c>
      <c r="I29">
        <v>0.47973770536774202</v>
      </c>
      <c r="J29">
        <v>0.68512018244325301</v>
      </c>
      <c r="K29">
        <v>10.8670433793529</v>
      </c>
      <c r="L29">
        <v>0.92098921241840903</v>
      </c>
      <c r="M29">
        <v>0.32918581393652302</v>
      </c>
      <c r="N29">
        <v>0.31395421088194603</v>
      </c>
      <c r="O29" s="2">
        <v>1000</v>
      </c>
      <c r="P29" s="2">
        <v>0</v>
      </c>
      <c r="Q29" s="1">
        <v>0</v>
      </c>
    </row>
    <row r="30" spans="1:17" x14ac:dyDescent="0.25">
      <c r="A30">
        <v>6.7274999493256402</v>
      </c>
      <c r="B30">
        <v>0.82785370316449203</v>
      </c>
      <c r="C30">
        <v>7.2351969752199397</v>
      </c>
      <c r="D30">
        <v>0.79737992762427901</v>
      </c>
      <c r="E30">
        <v>1.6534513782767499</v>
      </c>
      <c r="F30">
        <v>0.22707588338800899</v>
      </c>
      <c r="G30">
        <v>6370.7455277194504</v>
      </c>
      <c r="H30">
        <v>1.06693945741997</v>
      </c>
      <c r="I30">
        <v>0.49223148759236701</v>
      </c>
      <c r="J30">
        <v>0.61544003554554305</v>
      </c>
      <c r="K30">
        <v>11.5077580625554</v>
      </c>
      <c r="L30">
        <v>0.95813109395789797</v>
      </c>
      <c r="M30">
        <v>0.34781996607464399</v>
      </c>
      <c r="N30">
        <v>0.29899336264916998</v>
      </c>
      <c r="O30" s="2">
        <v>1000</v>
      </c>
      <c r="P30" s="2">
        <v>0</v>
      </c>
      <c r="Q30" s="1">
        <v>0</v>
      </c>
    </row>
    <row r="31" spans="1:17" x14ac:dyDescent="0.25">
      <c r="A31">
        <v>7.4002499442583201</v>
      </c>
      <c r="B31">
        <v>0.86924638832272205</v>
      </c>
      <c r="C31">
        <v>8.0551666192845293</v>
      </c>
      <c r="D31">
        <v>0.84485228606418905</v>
      </c>
      <c r="E31">
        <v>2.06214688544092</v>
      </c>
      <c r="F31">
        <v>0.23349029988756001</v>
      </c>
      <c r="G31">
        <v>7627.5038559970999</v>
      </c>
      <c r="H31">
        <v>1.1191224669826501</v>
      </c>
      <c r="I31">
        <v>0.525272252587898</v>
      </c>
      <c r="J31">
        <v>0.61992893157970996</v>
      </c>
      <c r="K31">
        <v>12.5608102289789</v>
      </c>
      <c r="L31">
        <v>1.0007150494436401</v>
      </c>
      <c r="M31">
        <v>0.371549878730219</v>
      </c>
      <c r="N31">
        <v>0.29586230147263798</v>
      </c>
      <c r="O31" s="2">
        <v>1000</v>
      </c>
      <c r="P31" s="2">
        <v>0</v>
      </c>
      <c r="Q31" s="1">
        <v>0</v>
      </c>
    </row>
    <row r="32" spans="1:17" x14ac:dyDescent="0.25">
      <c r="A32">
        <v>8.1402749386841204</v>
      </c>
      <c r="B32">
        <v>0.91063907348097095</v>
      </c>
      <c r="C32">
        <v>8.6363739504906398</v>
      </c>
      <c r="D32">
        <v>0.88733331779709501</v>
      </c>
      <c r="E32">
        <v>2.2501814359808598</v>
      </c>
      <c r="F32">
        <v>0.21218637714556501</v>
      </c>
      <c r="G32">
        <v>12715.9480969367</v>
      </c>
      <c r="H32">
        <v>1.2283903117458901</v>
      </c>
      <c r="I32">
        <v>0.61787145058159398</v>
      </c>
      <c r="J32">
        <v>0.76166282735421598</v>
      </c>
      <c r="K32">
        <v>13.664285748166799</v>
      </c>
      <c r="L32">
        <v>1.0340483698751199</v>
      </c>
      <c r="M32">
        <v>0.37492523971692898</v>
      </c>
      <c r="N32">
        <v>0.30725547597887498</v>
      </c>
      <c r="O32" s="2">
        <v>1000</v>
      </c>
      <c r="P32" s="2">
        <v>0</v>
      </c>
      <c r="Q32" s="1">
        <v>0</v>
      </c>
    </row>
    <row r="33" spans="1:17" x14ac:dyDescent="0.25">
      <c r="A33">
        <v>8.9543024325522893</v>
      </c>
      <c r="B33">
        <v>0.95203175863915301</v>
      </c>
      <c r="C33">
        <v>8.7771222546867609</v>
      </c>
      <c r="D33">
        <v>0.89880343440433497</v>
      </c>
      <c r="E33">
        <v>2.3643764748731999</v>
      </c>
      <c r="F33">
        <v>0.196281503622669</v>
      </c>
      <c r="G33">
        <v>13990.2735853993</v>
      </c>
      <c r="H33">
        <v>1.2613662115636599</v>
      </c>
      <c r="I33">
        <v>0.64426679343383497</v>
      </c>
      <c r="J33">
        <v>0.78906104489541495</v>
      </c>
      <c r="K33">
        <v>14.251699022405701</v>
      </c>
      <c r="L33">
        <v>1.05467793990876</v>
      </c>
      <c r="M33">
        <v>0.37135498673550199</v>
      </c>
      <c r="N33">
        <v>0.30684128553366602</v>
      </c>
      <c r="O33" s="2">
        <v>1000</v>
      </c>
      <c r="P33" s="2">
        <v>0</v>
      </c>
      <c r="Q33" s="1">
        <v>0</v>
      </c>
    </row>
    <row r="34" spans="1:17" x14ac:dyDescent="0.25">
      <c r="A34">
        <v>9.8497326758077506</v>
      </c>
      <c r="B34">
        <v>0.99342444379738704</v>
      </c>
      <c r="C34">
        <v>8.8503182905771691</v>
      </c>
      <c r="D34">
        <v>0.901080646254933</v>
      </c>
      <c r="E34">
        <v>2.6190111698695602</v>
      </c>
      <c r="F34">
        <v>0.190976816590609</v>
      </c>
      <c r="G34">
        <v>49395.369717820802</v>
      </c>
      <c r="H34">
        <v>1.46514685171794</v>
      </c>
      <c r="I34">
        <v>0.84389777959966195</v>
      </c>
      <c r="J34">
        <v>1.1090246605140699</v>
      </c>
      <c r="K34">
        <v>15.704831726202</v>
      </c>
      <c r="L34">
        <v>1.10692357021721</v>
      </c>
      <c r="M34">
        <v>0.39441936453759002</v>
      </c>
      <c r="N34">
        <v>0.294711860485871</v>
      </c>
      <c r="O34" s="2">
        <v>1000</v>
      </c>
      <c r="P34" s="2">
        <v>0</v>
      </c>
      <c r="Q34" s="1">
        <v>0</v>
      </c>
    </row>
    <row r="36" spans="1:17" x14ac:dyDescent="0.25">
      <c r="A36" s="1" t="s">
        <v>8</v>
      </c>
      <c r="B36" s="1" t="s">
        <v>25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26</v>
      </c>
      <c r="H36" s="1" t="s">
        <v>27</v>
      </c>
      <c r="I36" s="1" t="s">
        <v>28</v>
      </c>
      <c r="J36" s="1" t="s">
        <v>29</v>
      </c>
      <c r="K36" s="1" t="s">
        <v>30</v>
      </c>
      <c r="L36" s="1" t="s">
        <v>31</v>
      </c>
      <c r="M36" s="1" t="s">
        <v>32</v>
      </c>
      <c r="N36" s="1" t="s">
        <v>33</v>
      </c>
      <c r="O36" s="1" t="s">
        <v>34</v>
      </c>
      <c r="P36" s="1" t="s">
        <v>35</v>
      </c>
    </row>
    <row r="37" spans="1:17" x14ac:dyDescent="0.25">
      <c r="A37" s="1">
        <f>$B11</f>
        <v>4.1392685158224501E-2</v>
      </c>
      <c r="B37" s="1">
        <f>$D11</f>
        <v>5.8288408925496402E-2</v>
      </c>
      <c r="C37" s="1">
        <f t="shared" ref="C37:C60" si="0">B37-$E11</f>
        <v>5.8287445783926944E-2</v>
      </c>
      <c r="D37" s="1">
        <f t="shared" ref="D37:D60" si="1">B37+$E11</f>
        <v>5.8289372067065859E-2</v>
      </c>
      <c r="E37" s="1">
        <f>$B37-$F11</f>
        <v>5.1229652669141285E-2</v>
      </c>
      <c r="F37" s="1">
        <f>$B37+$F11</f>
        <v>6.5347165181851519E-2</v>
      </c>
      <c r="G37" s="1">
        <f>$H11</f>
        <v>5.8281713588902599E-2</v>
      </c>
      <c r="H37" s="1">
        <f>$G37-$I11</f>
        <v>5.2555172386766658E-2</v>
      </c>
      <c r="I37" s="1">
        <f>$G37+$I11</f>
        <v>6.4008254791038541E-2</v>
      </c>
      <c r="J37" s="1">
        <f>$G37-$J11</f>
        <v>5.1272257516870548E-2</v>
      </c>
      <c r="K37" s="1">
        <f>$G37+$J11</f>
        <v>6.529116966093465E-2</v>
      </c>
      <c r="L37" s="1">
        <f>$L11</f>
        <v>6.8173752455596301E-2</v>
      </c>
      <c r="M37" s="1">
        <f>$L37-$M11</f>
        <v>6.0732876752308318E-2</v>
      </c>
      <c r="N37" s="1">
        <f>$L37+$M11</f>
        <v>7.5614628158884284E-2</v>
      </c>
      <c r="O37" s="1">
        <f>$L37-$N11</f>
        <v>4.8382177791546105E-2</v>
      </c>
      <c r="P37" s="1">
        <f>$L37+$N11</f>
        <v>8.7965327119646497E-2</v>
      </c>
    </row>
    <row r="38" spans="1:17" x14ac:dyDescent="0.25">
      <c r="A38" s="1">
        <f t="shared" ref="A38:A60" si="2">$B12</f>
        <v>8.2785370316449003E-2</v>
      </c>
      <c r="B38" s="1">
        <f t="shared" ref="B38:B60" si="3">$D12</f>
        <v>0.105903246893125</v>
      </c>
      <c r="C38" s="1">
        <f t="shared" si="0"/>
        <v>0.10589774198158121</v>
      </c>
      <c r="D38" s="1">
        <f t="shared" si="1"/>
        <v>0.10590875180466879</v>
      </c>
      <c r="E38" s="1">
        <f t="shared" ref="E38:E60" si="4">$B38-$F12</f>
        <v>9.0484594637955398E-2</v>
      </c>
      <c r="F38" s="1">
        <f t="shared" ref="F38:F60" si="5">$B38+$F12</f>
        <v>0.1213218991482946</v>
      </c>
      <c r="G38" s="1">
        <f t="shared" ref="G38:G60" si="6">$H12</f>
        <v>0.105835403299314</v>
      </c>
      <c r="H38" s="1">
        <f t="shared" ref="H38:H60" si="7">$G38-$I12</f>
        <v>9.1792260687693694E-2</v>
      </c>
      <c r="I38" s="1">
        <f t="shared" ref="I38:I60" si="8">$G38+$I12</f>
        <v>0.1198785459109343</v>
      </c>
      <c r="J38" s="1">
        <f t="shared" ref="J38:J60" si="9">$G38-$J12</f>
        <v>9.0763199623385998E-2</v>
      </c>
      <c r="K38" s="1">
        <f t="shared" ref="K38:K60" si="10">$G38+$J12</f>
        <v>0.120907606975242</v>
      </c>
      <c r="L38" s="1">
        <f t="shared" ref="L38:L60" si="11">$L12</f>
        <v>0.110394291316984</v>
      </c>
      <c r="M38" s="1">
        <f t="shared" ref="M38:M60" si="12">$L38-$M12</f>
        <v>9.5342384158410398E-2</v>
      </c>
      <c r="N38" s="1">
        <f t="shared" ref="N38:N60" si="13">$L38+$M12</f>
        <v>0.1254461984755576</v>
      </c>
      <c r="O38" s="1">
        <f t="shared" ref="O38:O60" si="14">$L38-$N12</f>
        <v>8.9191966687980698E-2</v>
      </c>
      <c r="P38" s="1">
        <f t="shared" ref="P38:P60" si="15">$L38+$N12</f>
        <v>0.13159661594598729</v>
      </c>
    </row>
    <row r="39" spans="1:17" x14ac:dyDescent="0.25">
      <c r="A39" s="1">
        <f t="shared" si="2"/>
        <v>0.124178055474673</v>
      </c>
      <c r="B39" s="1">
        <f t="shared" si="3"/>
        <v>0.155638864005856</v>
      </c>
      <c r="C39" s="1">
        <f t="shared" si="0"/>
        <v>0.15562674430330498</v>
      </c>
      <c r="D39" s="1">
        <f t="shared" si="1"/>
        <v>0.15565098370840702</v>
      </c>
      <c r="E39" s="1">
        <f t="shared" si="4"/>
        <v>0.12395684949784361</v>
      </c>
      <c r="F39" s="1">
        <f t="shared" si="5"/>
        <v>0.18732087851386839</v>
      </c>
      <c r="G39" s="1">
        <f t="shared" si="6"/>
        <v>0.153885771495746</v>
      </c>
      <c r="H39" s="1">
        <f t="shared" si="7"/>
        <v>0.1291508849096755</v>
      </c>
      <c r="I39" s="1">
        <f t="shared" si="8"/>
        <v>0.17862065808181651</v>
      </c>
      <c r="J39" s="1">
        <f t="shared" si="9"/>
        <v>0.12587078947060801</v>
      </c>
      <c r="K39" s="1">
        <f t="shared" si="10"/>
        <v>0.181900753520884</v>
      </c>
      <c r="L39" s="1">
        <f t="shared" si="11"/>
        <v>0.15509839128786901</v>
      </c>
      <c r="M39" s="1">
        <f t="shared" si="12"/>
        <v>0.1300322468275269</v>
      </c>
      <c r="N39" s="1">
        <f t="shared" si="13"/>
        <v>0.18016453574821112</v>
      </c>
      <c r="O39" s="1">
        <f t="shared" si="14"/>
        <v>0.1246943290573983</v>
      </c>
      <c r="P39" s="1">
        <f t="shared" si="15"/>
        <v>0.18550245351833972</v>
      </c>
    </row>
    <row r="40" spans="1:17" x14ac:dyDescent="0.25">
      <c r="A40" s="1">
        <f t="shared" si="2"/>
        <v>0.16557074063289801</v>
      </c>
      <c r="B40" s="1">
        <f t="shared" si="3"/>
        <v>0.20320078663319899</v>
      </c>
      <c r="C40" s="1">
        <f t="shared" si="0"/>
        <v>0.20297596356806005</v>
      </c>
      <c r="D40" s="1">
        <f t="shared" si="1"/>
        <v>0.20342560969833792</v>
      </c>
      <c r="E40" s="1">
        <f t="shared" si="4"/>
        <v>0.15625198379932348</v>
      </c>
      <c r="F40" s="1">
        <f t="shared" si="5"/>
        <v>0.2501495894670745</v>
      </c>
      <c r="G40" s="1">
        <f t="shared" si="6"/>
        <v>0.19734791520401301</v>
      </c>
      <c r="H40" s="1">
        <f t="shared" si="7"/>
        <v>0.16134358126724091</v>
      </c>
      <c r="I40" s="1">
        <f t="shared" si="8"/>
        <v>0.23335224914078512</v>
      </c>
      <c r="J40" s="1">
        <f t="shared" si="9"/>
        <v>0.15811261166332471</v>
      </c>
      <c r="K40" s="1">
        <f t="shared" si="10"/>
        <v>0.23658321874470131</v>
      </c>
      <c r="L40" s="1">
        <f t="shared" si="11"/>
        <v>0.19816719454607201</v>
      </c>
      <c r="M40" s="1">
        <f t="shared" si="12"/>
        <v>0.16195512916409521</v>
      </c>
      <c r="N40" s="1">
        <f t="shared" si="13"/>
        <v>0.23437925992804881</v>
      </c>
      <c r="O40" s="1">
        <f t="shared" si="14"/>
        <v>0.15869701705625733</v>
      </c>
      <c r="P40" s="1">
        <f t="shared" si="15"/>
        <v>0.2376373720358867</v>
      </c>
    </row>
    <row r="41" spans="1:17" x14ac:dyDescent="0.25">
      <c r="A41" s="1">
        <f t="shared" si="2"/>
        <v>0.20696342579112301</v>
      </c>
      <c r="B41" s="1">
        <f t="shared" si="3"/>
        <v>0.25845534290239802</v>
      </c>
      <c r="C41" s="1">
        <f t="shared" si="0"/>
        <v>0.25486599221258449</v>
      </c>
      <c r="D41" s="1">
        <f t="shared" si="1"/>
        <v>0.26204469359221155</v>
      </c>
      <c r="E41" s="1">
        <f t="shared" si="4"/>
        <v>0.18553711065814021</v>
      </c>
      <c r="F41" s="1">
        <f t="shared" si="5"/>
        <v>0.33137357514665583</v>
      </c>
      <c r="G41" s="1">
        <f t="shared" si="6"/>
        <v>0.24868574068635901</v>
      </c>
      <c r="H41" s="1">
        <f t="shared" si="7"/>
        <v>0.19751653309418141</v>
      </c>
      <c r="I41" s="1">
        <f t="shared" si="8"/>
        <v>0.29985494827853659</v>
      </c>
      <c r="J41" s="1">
        <f t="shared" si="9"/>
        <v>0.19134131957116762</v>
      </c>
      <c r="K41" s="1">
        <f t="shared" si="10"/>
        <v>0.3060301618015504</v>
      </c>
      <c r="L41" s="1">
        <f t="shared" si="11"/>
        <v>0.24735048161623299</v>
      </c>
      <c r="M41" s="1">
        <f t="shared" si="12"/>
        <v>0.1966362145730253</v>
      </c>
      <c r="N41" s="1">
        <f t="shared" si="13"/>
        <v>0.29806474865944071</v>
      </c>
      <c r="O41" s="1">
        <f t="shared" si="14"/>
        <v>0.19056951215004028</v>
      </c>
      <c r="P41" s="1">
        <f t="shared" si="15"/>
        <v>0.30413145108242567</v>
      </c>
    </row>
    <row r="42" spans="1:17" x14ac:dyDescent="0.25">
      <c r="A42" s="1">
        <f t="shared" si="2"/>
        <v>0.24835611094934601</v>
      </c>
      <c r="B42" s="1">
        <f t="shared" si="3"/>
        <v>0.31556913587406998</v>
      </c>
      <c r="C42" s="1">
        <f t="shared" si="0"/>
        <v>0.30232920389176471</v>
      </c>
      <c r="D42" s="1">
        <f t="shared" si="1"/>
        <v>0.32880906785637526</v>
      </c>
      <c r="E42" s="1">
        <f t="shared" si="4"/>
        <v>0.22327737048958507</v>
      </c>
      <c r="F42" s="1">
        <f t="shared" si="5"/>
        <v>0.4078609012585549</v>
      </c>
      <c r="G42" s="1">
        <f t="shared" si="6"/>
        <v>0.296300464933198</v>
      </c>
      <c r="H42" s="1">
        <f t="shared" si="7"/>
        <v>0.229664425195062</v>
      </c>
      <c r="I42" s="1">
        <f t="shared" si="8"/>
        <v>0.36293650467133398</v>
      </c>
      <c r="J42" s="1">
        <f t="shared" si="9"/>
        <v>0.2257752320133693</v>
      </c>
      <c r="K42" s="1">
        <f t="shared" si="10"/>
        <v>0.36682569785302671</v>
      </c>
      <c r="L42" s="1">
        <f t="shared" si="11"/>
        <v>0.29373394564248601</v>
      </c>
      <c r="M42" s="1">
        <f t="shared" si="12"/>
        <v>0.2279523329211198</v>
      </c>
      <c r="N42" s="1">
        <f t="shared" si="13"/>
        <v>0.35951555836385218</v>
      </c>
      <c r="O42" s="1">
        <f t="shared" si="14"/>
        <v>0.22277035067243431</v>
      </c>
      <c r="P42" s="1">
        <f t="shared" si="15"/>
        <v>0.36469754061253767</v>
      </c>
    </row>
    <row r="43" spans="1:17" x14ac:dyDescent="0.25">
      <c r="A43" s="1">
        <f t="shared" si="2"/>
        <v>0.28974879610757398</v>
      </c>
      <c r="B43" s="1">
        <f t="shared" si="3"/>
        <v>0.37256638820068699</v>
      </c>
      <c r="C43" s="1">
        <f t="shared" si="0"/>
        <v>0.33775077862369368</v>
      </c>
      <c r="D43" s="1">
        <f t="shared" si="1"/>
        <v>0.4073819977776803</v>
      </c>
      <c r="E43" s="1">
        <f t="shared" si="4"/>
        <v>0.25410623634915097</v>
      </c>
      <c r="F43" s="1">
        <f t="shared" si="5"/>
        <v>0.49102654005222302</v>
      </c>
      <c r="G43" s="1">
        <f t="shared" si="6"/>
        <v>0.34844203971183402</v>
      </c>
      <c r="H43" s="1">
        <f t="shared" si="7"/>
        <v>0.2630508362693042</v>
      </c>
      <c r="I43" s="1">
        <f t="shared" si="8"/>
        <v>0.43383324315436383</v>
      </c>
      <c r="J43" s="1">
        <f t="shared" si="9"/>
        <v>0.25553764994110961</v>
      </c>
      <c r="K43" s="1">
        <f t="shared" si="10"/>
        <v>0.44134642948255842</v>
      </c>
      <c r="L43" s="1">
        <f t="shared" si="11"/>
        <v>0.34569989101829401</v>
      </c>
      <c r="M43" s="1">
        <f t="shared" si="12"/>
        <v>0.2613567304010932</v>
      </c>
      <c r="N43" s="1">
        <f t="shared" si="13"/>
        <v>0.43004305163549483</v>
      </c>
      <c r="O43" s="1">
        <f t="shared" si="14"/>
        <v>0.25302030823254784</v>
      </c>
      <c r="P43" s="1">
        <f t="shared" si="15"/>
        <v>0.43837947380404019</v>
      </c>
    </row>
    <row r="44" spans="1:17" x14ac:dyDescent="0.25">
      <c r="A44" s="1">
        <f t="shared" si="2"/>
        <v>0.33114148126579601</v>
      </c>
      <c r="B44" s="1">
        <f t="shared" si="3"/>
        <v>0.42318483395920597</v>
      </c>
      <c r="C44" s="1">
        <f t="shared" si="0"/>
        <v>0.35383976086086927</v>
      </c>
      <c r="D44" s="1">
        <f t="shared" si="1"/>
        <v>0.49252990705754268</v>
      </c>
      <c r="E44" s="1">
        <f t="shared" si="4"/>
        <v>0.28122810614063898</v>
      </c>
      <c r="F44" s="1">
        <f t="shared" si="5"/>
        <v>0.56514156177777297</v>
      </c>
      <c r="G44" s="1">
        <f t="shared" si="6"/>
        <v>0.39546403618021903</v>
      </c>
      <c r="H44" s="1">
        <f t="shared" si="7"/>
        <v>0.29160819748173206</v>
      </c>
      <c r="I44" s="1">
        <f t="shared" si="8"/>
        <v>0.49931987487870599</v>
      </c>
      <c r="J44" s="1">
        <f t="shared" si="9"/>
        <v>0.27684069591141003</v>
      </c>
      <c r="K44" s="1">
        <f t="shared" si="10"/>
        <v>0.51408737644902802</v>
      </c>
      <c r="L44" s="1">
        <f t="shared" si="11"/>
        <v>0.39230449745691398</v>
      </c>
      <c r="M44" s="1">
        <f t="shared" si="12"/>
        <v>0.29005132237991699</v>
      </c>
      <c r="N44" s="1">
        <f t="shared" si="13"/>
        <v>0.49455767253391097</v>
      </c>
      <c r="O44" s="1">
        <f t="shared" si="14"/>
        <v>0.271544985685792</v>
      </c>
      <c r="P44" s="1">
        <f t="shared" si="15"/>
        <v>0.51306400922803597</v>
      </c>
    </row>
    <row r="45" spans="1:17" x14ac:dyDescent="0.25">
      <c r="A45" s="1">
        <f t="shared" si="2"/>
        <v>0.37253416642402998</v>
      </c>
      <c r="B45" s="1">
        <f t="shared" si="3"/>
        <v>0.47654138250486</v>
      </c>
      <c r="C45" s="1">
        <f t="shared" si="0"/>
        <v>0.32349481338462599</v>
      </c>
      <c r="D45" s="1">
        <f t="shared" si="1"/>
        <v>0.62958795162509396</v>
      </c>
      <c r="E45" s="1">
        <f t="shared" si="4"/>
        <v>0.30208442959562498</v>
      </c>
      <c r="F45" s="1">
        <f t="shared" si="5"/>
        <v>0.65099833541409502</v>
      </c>
      <c r="G45" s="1">
        <f t="shared" si="6"/>
        <v>0.44663393615039898</v>
      </c>
      <c r="H45" s="1">
        <f t="shared" si="7"/>
        <v>0.32118521020454099</v>
      </c>
      <c r="I45" s="1">
        <f t="shared" si="8"/>
        <v>0.57208266209625691</v>
      </c>
      <c r="J45" s="1">
        <f t="shared" si="9"/>
        <v>0.29801109008194498</v>
      </c>
      <c r="K45" s="1">
        <f t="shared" si="10"/>
        <v>0.59525678221885303</v>
      </c>
      <c r="L45" s="1">
        <f t="shared" si="11"/>
        <v>0.44200201883064999</v>
      </c>
      <c r="M45" s="1">
        <f t="shared" si="12"/>
        <v>0.31610780183895298</v>
      </c>
      <c r="N45" s="1">
        <f t="shared" si="13"/>
        <v>0.56789623582234694</v>
      </c>
      <c r="O45" s="1">
        <f t="shared" si="14"/>
        <v>0.30016000672624399</v>
      </c>
      <c r="P45" s="1">
        <f t="shared" si="15"/>
        <v>0.58384403093505599</v>
      </c>
    </row>
    <row r="46" spans="1:17" x14ac:dyDescent="0.25">
      <c r="A46" s="1">
        <f t="shared" si="2"/>
        <v>0.41392685158224601</v>
      </c>
      <c r="B46" s="1">
        <f t="shared" si="3"/>
        <v>0.52416479441473895</v>
      </c>
      <c r="C46" s="1">
        <f t="shared" si="0"/>
        <v>0.31153603755729298</v>
      </c>
      <c r="D46" s="1">
        <f t="shared" si="1"/>
        <v>0.73679355127218493</v>
      </c>
      <c r="E46" s="1">
        <f t="shared" si="4"/>
        <v>0.34628766307748693</v>
      </c>
      <c r="F46" s="1">
        <f t="shared" si="5"/>
        <v>0.70204192575199098</v>
      </c>
      <c r="G46" s="1">
        <f t="shared" si="6"/>
        <v>0.497569860739349</v>
      </c>
      <c r="H46" s="1">
        <f t="shared" si="7"/>
        <v>0.34957005841557098</v>
      </c>
      <c r="I46" s="1">
        <f t="shared" si="8"/>
        <v>0.64556966306312702</v>
      </c>
      <c r="J46" s="1">
        <f t="shared" si="9"/>
        <v>0.32502948017991001</v>
      </c>
      <c r="K46" s="1">
        <f t="shared" si="10"/>
        <v>0.67011024129878805</v>
      </c>
      <c r="L46" s="1">
        <f t="shared" si="11"/>
        <v>0.49334019446933802</v>
      </c>
      <c r="M46" s="1">
        <f t="shared" si="12"/>
        <v>0.34669399741629703</v>
      </c>
      <c r="N46" s="1">
        <f t="shared" si="13"/>
        <v>0.63998639152237902</v>
      </c>
      <c r="O46" s="1">
        <f t="shared" si="14"/>
        <v>0.32104780874924699</v>
      </c>
      <c r="P46" s="1">
        <f t="shared" si="15"/>
        <v>0.66563258018942906</v>
      </c>
    </row>
    <row r="47" spans="1:17" x14ac:dyDescent="0.25">
      <c r="A47" s="1">
        <f t="shared" si="2"/>
        <v>0.45531953674048498</v>
      </c>
      <c r="B47" s="1">
        <f t="shared" si="3"/>
        <v>0.57548849258791601</v>
      </c>
      <c r="C47" s="1">
        <f t="shared" si="0"/>
        <v>0.24365324676905503</v>
      </c>
      <c r="D47" s="1">
        <f t="shared" si="1"/>
        <v>0.90732373840677694</v>
      </c>
      <c r="E47" s="1">
        <f t="shared" si="4"/>
        <v>0.38721348070303402</v>
      </c>
      <c r="F47" s="1">
        <f t="shared" si="5"/>
        <v>0.76376350447279795</v>
      </c>
      <c r="G47" s="1">
        <f t="shared" si="6"/>
        <v>0.55187107333742103</v>
      </c>
      <c r="H47" s="1">
        <f t="shared" si="7"/>
        <v>0.37920561686404602</v>
      </c>
      <c r="I47" s="1">
        <f t="shared" si="8"/>
        <v>0.72453652981079597</v>
      </c>
      <c r="J47" s="1">
        <f t="shared" si="9"/>
        <v>0.36473726046924704</v>
      </c>
      <c r="K47" s="1">
        <f t="shared" si="10"/>
        <v>0.73900488620559501</v>
      </c>
      <c r="L47" s="1">
        <f t="shared" si="11"/>
        <v>0.54746040430822096</v>
      </c>
      <c r="M47" s="1">
        <f t="shared" si="12"/>
        <v>0.37647686652170398</v>
      </c>
      <c r="N47" s="1">
        <f t="shared" si="13"/>
        <v>0.71844394209473794</v>
      </c>
      <c r="O47" s="1">
        <f t="shared" si="14"/>
        <v>0.36138632853125097</v>
      </c>
      <c r="P47" s="1">
        <f t="shared" si="15"/>
        <v>0.73353448008519095</v>
      </c>
    </row>
    <row r="48" spans="1:17" x14ac:dyDescent="0.25">
      <c r="A48" s="1">
        <f t="shared" si="2"/>
        <v>0.49671222189869302</v>
      </c>
      <c r="B48" s="1">
        <f t="shared" si="3"/>
        <v>0.60430977875801795</v>
      </c>
      <c r="C48" s="1">
        <f t="shared" si="0"/>
        <v>0.23664398955411897</v>
      </c>
      <c r="D48" s="1">
        <f t="shared" si="1"/>
        <v>0.97197556796191686</v>
      </c>
      <c r="E48" s="1">
        <f t="shared" si="4"/>
        <v>0.41704173625147894</v>
      </c>
      <c r="F48" s="1">
        <f t="shared" si="5"/>
        <v>0.791577821264557</v>
      </c>
      <c r="G48" s="1">
        <f t="shared" si="6"/>
        <v>0.60199592793636902</v>
      </c>
      <c r="H48" s="1">
        <f t="shared" si="7"/>
        <v>0.40440934024487901</v>
      </c>
      <c r="I48" s="1">
        <f t="shared" si="8"/>
        <v>0.79958251562785909</v>
      </c>
      <c r="J48" s="1">
        <f t="shared" si="9"/>
        <v>0.38541661555524903</v>
      </c>
      <c r="K48" s="1">
        <f t="shared" si="10"/>
        <v>0.81857524031748907</v>
      </c>
      <c r="L48" s="1">
        <f t="shared" si="11"/>
        <v>0.59500735280571904</v>
      </c>
      <c r="M48" s="1">
        <f t="shared" si="12"/>
        <v>0.40060549811591006</v>
      </c>
      <c r="N48" s="1">
        <f t="shared" si="13"/>
        <v>0.78940920749552801</v>
      </c>
      <c r="O48" s="1">
        <f t="shared" si="14"/>
        <v>0.38533892042771301</v>
      </c>
      <c r="P48" s="1">
        <f t="shared" si="15"/>
        <v>0.80467578518372507</v>
      </c>
    </row>
    <row r="49" spans="1:16" x14ac:dyDescent="0.25">
      <c r="A49" s="1">
        <f t="shared" si="2"/>
        <v>0.53810490705693204</v>
      </c>
      <c r="B49" s="1">
        <f t="shared" si="3"/>
        <v>0.64870893189161305</v>
      </c>
      <c r="C49" s="1">
        <f t="shared" si="0"/>
        <v>8.3225784176471085E-2</v>
      </c>
      <c r="D49" s="1">
        <f t="shared" si="1"/>
        <v>1.2141920796067551</v>
      </c>
      <c r="E49" s="1">
        <f t="shared" si="4"/>
        <v>0.44458944551443402</v>
      </c>
      <c r="F49" s="1">
        <f t="shared" si="5"/>
        <v>0.85282841826879208</v>
      </c>
      <c r="G49" s="1">
        <f t="shared" si="6"/>
        <v>0.65964033321118998</v>
      </c>
      <c r="H49" s="1">
        <f t="shared" si="7"/>
        <v>0.43039175149699799</v>
      </c>
      <c r="I49" s="1">
        <f t="shared" si="8"/>
        <v>0.88888891492538202</v>
      </c>
      <c r="J49" s="1">
        <f t="shared" si="9"/>
        <v>0.38748131705971095</v>
      </c>
      <c r="K49" s="1">
        <f t="shared" si="10"/>
        <v>0.93179934936266906</v>
      </c>
      <c r="L49" s="1">
        <f t="shared" si="11"/>
        <v>0.64524980762047901</v>
      </c>
      <c r="M49" s="1">
        <f t="shared" si="12"/>
        <v>0.42494557351501705</v>
      </c>
      <c r="N49" s="1">
        <f t="shared" si="13"/>
        <v>0.86555404172594097</v>
      </c>
      <c r="O49" s="1">
        <f t="shared" si="14"/>
        <v>0.41283115931967901</v>
      </c>
      <c r="P49" s="1">
        <f t="shared" si="15"/>
        <v>0.87766845592127907</v>
      </c>
    </row>
    <row r="50" spans="1:16" x14ac:dyDescent="0.25">
      <c r="A50" s="1">
        <f t="shared" si="2"/>
        <v>0.57949759221514796</v>
      </c>
      <c r="B50" s="1">
        <f t="shared" si="3"/>
        <v>0.68232102472980205</v>
      </c>
      <c r="C50" s="1">
        <f t="shared" si="0"/>
        <v>3.9233590217474079E-2</v>
      </c>
      <c r="D50" s="1">
        <f t="shared" si="1"/>
        <v>1.32540845924213</v>
      </c>
      <c r="E50" s="1">
        <f t="shared" si="4"/>
        <v>0.48456876877759902</v>
      </c>
      <c r="F50" s="1">
        <f t="shared" si="5"/>
        <v>0.88007328068200508</v>
      </c>
      <c r="G50" s="1">
        <f t="shared" si="6"/>
        <v>0.70862172397541201</v>
      </c>
      <c r="H50" s="1">
        <f t="shared" si="7"/>
        <v>0.45140334448673103</v>
      </c>
      <c r="I50" s="1">
        <f t="shared" si="8"/>
        <v>0.96584010346409299</v>
      </c>
      <c r="J50" s="1">
        <f t="shared" si="9"/>
        <v>0.38286205776995202</v>
      </c>
      <c r="K50" s="1">
        <f t="shared" si="10"/>
        <v>1.0343813901808721</v>
      </c>
      <c r="L50" s="1">
        <f t="shared" si="11"/>
        <v>0.69038871633241194</v>
      </c>
      <c r="M50" s="1">
        <f t="shared" si="12"/>
        <v>0.45065774929320496</v>
      </c>
      <c r="N50" s="1">
        <f t="shared" si="13"/>
        <v>0.93011968337161899</v>
      </c>
      <c r="O50" s="1">
        <f t="shared" si="14"/>
        <v>0.44690554022397894</v>
      </c>
      <c r="P50" s="1">
        <f t="shared" si="15"/>
        <v>0.9338718924408449</v>
      </c>
    </row>
    <row r="51" spans="1:16" x14ac:dyDescent="0.25">
      <c r="A51" s="1">
        <f t="shared" si="2"/>
        <v>0.62089027737336999</v>
      </c>
      <c r="B51" s="1">
        <f t="shared" si="3"/>
        <v>0.70730297504648498</v>
      </c>
      <c r="C51" s="1">
        <f t="shared" si="0"/>
        <v>-7.6153334305525067E-2</v>
      </c>
      <c r="D51" s="1">
        <f t="shared" si="1"/>
        <v>1.4907592843984951</v>
      </c>
      <c r="E51" s="1">
        <f t="shared" si="4"/>
        <v>0.50166263589323801</v>
      </c>
      <c r="F51" s="1">
        <f t="shared" si="5"/>
        <v>0.91294331419973196</v>
      </c>
      <c r="G51" s="1">
        <f t="shared" si="6"/>
        <v>0.79682199164342504</v>
      </c>
      <c r="H51" s="1">
        <f t="shared" si="7"/>
        <v>0.48714562928907107</v>
      </c>
      <c r="I51" s="1">
        <f t="shared" si="8"/>
        <v>1.1064983539977791</v>
      </c>
      <c r="J51" s="1">
        <f t="shared" si="9"/>
        <v>0.41733450979208303</v>
      </c>
      <c r="K51" s="1">
        <f t="shared" si="10"/>
        <v>1.176309473494767</v>
      </c>
      <c r="L51" s="1">
        <f t="shared" si="11"/>
        <v>0.76318956842706098</v>
      </c>
      <c r="M51" s="1">
        <f t="shared" si="12"/>
        <v>0.48809695506025397</v>
      </c>
      <c r="N51" s="1">
        <f t="shared" si="13"/>
        <v>1.0382821817938681</v>
      </c>
      <c r="O51" s="1">
        <f t="shared" si="14"/>
        <v>0.477914968945651</v>
      </c>
      <c r="P51" s="1">
        <f t="shared" si="15"/>
        <v>1.048464167908471</v>
      </c>
    </row>
    <row r="52" spans="1:16" x14ac:dyDescent="0.25">
      <c r="A52" s="1">
        <f t="shared" si="2"/>
        <v>0.66228296253159202</v>
      </c>
      <c r="B52" s="1">
        <f t="shared" si="3"/>
        <v>0.72655772815985598</v>
      </c>
      <c r="C52" s="1">
        <f t="shared" si="0"/>
        <v>-0.31153116055339403</v>
      </c>
      <c r="D52" s="1">
        <f t="shared" si="1"/>
        <v>1.7646466168731059</v>
      </c>
      <c r="E52" s="1">
        <f t="shared" si="4"/>
        <v>0.50509475350619404</v>
      </c>
      <c r="F52" s="1">
        <f t="shared" si="5"/>
        <v>0.94802070281351791</v>
      </c>
      <c r="G52" s="1">
        <f t="shared" si="6"/>
        <v>0.85369837529557702</v>
      </c>
      <c r="H52" s="1">
        <f t="shared" si="7"/>
        <v>0.50526370667994702</v>
      </c>
      <c r="I52" s="1">
        <f t="shared" si="8"/>
        <v>1.202133043911207</v>
      </c>
      <c r="J52" s="1">
        <f t="shared" si="9"/>
        <v>0.39610608324313901</v>
      </c>
      <c r="K52" s="1">
        <f t="shared" si="10"/>
        <v>1.3112906673480151</v>
      </c>
      <c r="L52" s="1">
        <f t="shared" si="11"/>
        <v>0.80157158898516101</v>
      </c>
      <c r="M52" s="1">
        <f t="shared" si="12"/>
        <v>0.51439782554310098</v>
      </c>
      <c r="N52" s="1">
        <f t="shared" si="13"/>
        <v>1.088745352427221</v>
      </c>
      <c r="O52" s="1">
        <f t="shared" si="14"/>
        <v>0.50878773420720402</v>
      </c>
      <c r="P52" s="1">
        <f t="shared" si="15"/>
        <v>1.094355443763118</v>
      </c>
    </row>
    <row r="53" spans="1:16" x14ac:dyDescent="0.25">
      <c r="A53" s="1">
        <f t="shared" si="2"/>
        <v>0.70367564768981405</v>
      </c>
      <c r="B53" s="1">
        <f t="shared" si="3"/>
        <v>0.74920258590203104</v>
      </c>
      <c r="C53" s="1">
        <f t="shared" si="0"/>
        <v>-0.27341115437233898</v>
      </c>
      <c r="D53" s="1">
        <f t="shared" si="1"/>
        <v>1.7718163261764011</v>
      </c>
      <c r="E53" s="1">
        <f t="shared" si="4"/>
        <v>0.54063717457128102</v>
      </c>
      <c r="F53" s="1">
        <f t="shared" si="5"/>
        <v>0.95776799723278105</v>
      </c>
      <c r="G53" s="1">
        <f t="shared" si="6"/>
        <v>0.89018060558976497</v>
      </c>
      <c r="H53" s="1">
        <f t="shared" si="7"/>
        <v>0.51447930434372191</v>
      </c>
      <c r="I53" s="1">
        <f t="shared" si="8"/>
        <v>1.265881906835808</v>
      </c>
      <c r="J53" s="1">
        <f t="shared" si="9"/>
        <v>0.36259582549998493</v>
      </c>
      <c r="K53" s="1">
        <f t="shared" si="10"/>
        <v>1.4177653856795449</v>
      </c>
      <c r="L53" s="1">
        <f t="shared" si="11"/>
        <v>0.82823363786858295</v>
      </c>
      <c r="M53" s="1">
        <f t="shared" si="12"/>
        <v>0.53244377408743293</v>
      </c>
      <c r="N53" s="1">
        <f t="shared" si="13"/>
        <v>1.1240235016497331</v>
      </c>
      <c r="O53" s="1">
        <f t="shared" si="14"/>
        <v>0.53335885809372496</v>
      </c>
      <c r="P53" s="1">
        <f t="shared" si="15"/>
        <v>1.1231084176434409</v>
      </c>
    </row>
    <row r="54" spans="1:16" x14ac:dyDescent="0.25">
      <c r="A54" s="1">
        <f t="shared" si="2"/>
        <v>0.74506833284806095</v>
      </c>
      <c r="B54" s="1">
        <f t="shared" si="3"/>
        <v>0.77484718354795101</v>
      </c>
      <c r="C54" s="1">
        <f t="shared" si="0"/>
        <v>-0.62566622714810893</v>
      </c>
      <c r="D54" s="1">
        <f t="shared" si="1"/>
        <v>2.1753605942440108</v>
      </c>
      <c r="E54" s="1">
        <f t="shared" si="4"/>
        <v>0.55887609341200406</v>
      </c>
      <c r="F54" s="1">
        <f t="shared" si="5"/>
        <v>0.99081827368389797</v>
      </c>
      <c r="G54" s="1">
        <f t="shared" si="6"/>
        <v>0.96677541719554505</v>
      </c>
      <c r="H54" s="1">
        <f t="shared" si="7"/>
        <v>0.54181236883139505</v>
      </c>
      <c r="I54" s="1">
        <f t="shared" si="8"/>
        <v>1.3917384655596949</v>
      </c>
      <c r="J54" s="1">
        <f t="shared" si="9"/>
        <v>0.39957738370264706</v>
      </c>
      <c r="K54" s="1">
        <f t="shared" si="10"/>
        <v>1.533973450688443</v>
      </c>
      <c r="L54" s="1">
        <f t="shared" si="11"/>
        <v>0.886611995124993</v>
      </c>
      <c r="M54" s="1">
        <f t="shared" si="12"/>
        <v>0.56118110171353397</v>
      </c>
      <c r="N54" s="1">
        <f t="shared" si="13"/>
        <v>1.212042888536452</v>
      </c>
      <c r="O54" s="1">
        <f t="shared" si="14"/>
        <v>0.585692047280992</v>
      </c>
      <c r="P54" s="1">
        <f t="shared" si="15"/>
        <v>1.1875319429689939</v>
      </c>
    </row>
    <row r="55" spans="1:16" x14ac:dyDescent="0.25">
      <c r="A55" s="1">
        <f t="shared" si="2"/>
        <v>0.78646101800628598</v>
      </c>
      <c r="B55" s="1">
        <f t="shared" si="3"/>
        <v>0.75664213613069897</v>
      </c>
      <c r="C55" s="1">
        <f t="shared" si="0"/>
        <v>-0.49273835791893106</v>
      </c>
      <c r="D55" s="1">
        <f t="shared" si="1"/>
        <v>2.006022630180329</v>
      </c>
      <c r="E55" s="1">
        <f t="shared" si="4"/>
        <v>0.5424372385939169</v>
      </c>
      <c r="F55" s="1">
        <f t="shared" si="5"/>
        <v>0.97084703366748104</v>
      </c>
      <c r="G55" s="1">
        <f t="shared" si="6"/>
        <v>1.0322010587135499</v>
      </c>
      <c r="H55" s="1">
        <f t="shared" si="7"/>
        <v>0.55246335334580787</v>
      </c>
      <c r="I55" s="1">
        <f t="shared" si="8"/>
        <v>1.511938764081292</v>
      </c>
      <c r="J55" s="1">
        <f t="shared" si="9"/>
        <v>0.34708087627029693</v>
      </c>
      <c r="K55" s="1">
        <f t="shared" si="10"/>
        <v>1.7173212411568031</v>
      </c>
      <c r="L55" s="1">
        <f t="shared" si="11"/>
        <v>0.92098921241840903</v>
      </c>
      <c r="M55" s="1">
        <f t="shared" si="12"/>
        <v>0.59180339848188601</v>
      </c>
      <c r="N55" s="1">
        <f t="shared" si="13"/>
        <v>1.2501750263549321</v>
      </c>
      <c r="O55" s="1">
        <f t="shared" si="14"/>
        <v>0.60703500153646295</v>
      </c>
      <c r="P55" s="1">
        <f t="shared" si="15"/>
        <v>1.2349434233003551</v>
      </c>
    </row>
    <row r="56" spans="1:16" x14ac:dyDescent="0.25">
      <c r="A56" s="1">
        <f t="shared" si="2"/>
        <v>0.82785370316449203</v>
      </c>
      <c r="B56" s="1">
        <f t="shared" si="3"/>
        <v>0.79737992762427901</v>
      </c>
      <c r="C56" s="1">
        <f t="shared" si="0"/>
        <v>-0.85607145065247092</v>
      </c>
      <c r="D56" s="1">
        <f t="shared" si="1"/>
        <v>2.4508313059010289</v>
      </c>
      <c r="E56" s="1">
        <f t="shared" si="4"/>
        <v>0.57030404423627001</v>
      </c>
      <c r="F56" s="1">
        <f t="shared" si="5"/>
        <v>1.0244558110122881</v>
      </c>
      <c r="G56" s="1">
        <f t="shared" si="6"/>
        <v>1.06693945741997</v>
      </c>
      <c r="H56" s="1">
        <f t="shared" si="7"/>
        <v>0.57470796982760297</v>
      </c>
      <c r="I56" s="1">
        <f t="shared" si="8"/>
        <v>1.559170945012337</v>
      </c>
      <c r="J56" s="1">
        <f t="shared" si="9"/>
        <v>0.45149942187442693</v>
      </c>
      <c r="K56" s="1">
        <f t="shared" si="10"/>
        <v>1.6823794929655129</v>
      </c>
      <c r="L56" s="1">
        <f t="shared" si="11"/>
        <v>0.95813109395789797</v>
      </c>
      <c r="M56" s="1">
        <f t="shared" si="12"/>
        <v>0.61031112788325403</v>
      </c>
      <c r="N56" s="1">
        <f t="shared" si="13"/>
        <v>1.3059510600325419</v>
      </c>
      <c r="O56" s="1">
        <f t="shared" si="14"/>
        <v>0.65913773130872799</v>
      </c>
      <c r="P56" s="1">
        <f t="shared" si="15"/>
        <v>1.2571244566070678</v>
      </c>
    </row>
    <row r="57" spans="1:16" x14ac:dyDescent="0.25">
      <c r="A57" s="1">
        <f t="shared" si="2"/>
        <v>0.86924638832272205</v>
      </c>
      <c r="B57" s="1">
        <f t="shared" si="3"/>
        <v>0.84485228606418905</v>
      </c>
      <c r="C57" s="1">
        <f t="shared" si="0"/>
        <v>-1.2172945993767308</v>
      </c>
      <c r="D57" s="1">
        <f t="shared" si="1"/>
        <v>2.9069991715051091</v>
      </c>
      <c r="E57" s="1">
        <f t="shared" si="4"/>
        <v>0.61136198617662907</v>
      </c>
      <c r="F57" s="1">
        <f t="shared" si="5"/>
        <v>1.078342585951749</v>
      </c>
      <c r="G57" s="1">
        <f t="shared" si="6"/>
        <v>1.1191224669826501</v>
      </c>
      <c r="H57" s="1">
        <f t="shared" si="7"/>
        <v>0.59385021439475205</v>
      </c>
      <c r="I57" s="1">
        <f t="shared" si="8"/>
        <v>1.6443947195705482</v>
      </c>
      <c r="J57" s="1">
        <f t="shared" si="9"/>
        <v>0.49919353540294009</v>
      </c>
      <c r="K57" s="1">
        <f t="shared" si="10"/>
        <v>1.7390513985623599</v>
      </c>
      <c r="L57" s="1">
        <f t="shared" si="11"/>
        <v>1.0007150494436401</v>
      </c>
      <c r="M57" s="1">
        <f t="shared" si="12"/>
        <v>0.62916517071342115</v>
      </c>
      <c r="N57" s="1">
        <f t="shared" si="13"/>
        <v>1.372264928173859</v>
      </c>
      <c r="O57" s="1">
        <f t="shared" si="14"/>
        <v>0.70485274797100206</v>
      </c>
      <c r="P57" s="1">
        <f t="shared" si="15"/>
        <v>1.2965773509162781</v>
      </c>
    </row>
    <row r="58" spans="1:16" x14ac:dyDescent="0.25">
      <c r="A58" s="1">
        <f t="shared" si="2"/>
        <v>0.91063907348097095</v>
      </c>
      <c r="B58" s="1">
        <f t="shared" si="3"/>
        <v>0.88733331779709501</v>
      </c>
      <c r="C58" s="1">
        <f t="shared" si="0"/>
        <v>-1.3628481181837648</v>
      </c>
      <c r="D58" s="1">
        <f t="shared" si="1"/>
        <v>3.1375147537779551</v>
      </c>
      <c r="E58" s="1">
        <f t="shared" si="4"/>
        <v>0.67514694065153003</v>
      </c>
      <c r="F58" s="1">
        <f t="shared" si="5"/>
        <v>1.09951969494266</v>
      </c>
      <c r="G58" s="1">
        <f t="shared" si="6"/>
        <v>1.2283903117458901</v>
      </c>
      <c r="H58" s="1">
        <f t="shared" si="7"/>
        <v>0.6105188611642961</v>
      </c>
      <c r="I58" s="1">
        <f t="shared" si="8"/>
        <v>1.846261762327484</v>
      </c>
      <c r="J58" s="1">
        <f t="shared" si="9"/>
        <v>0.46672748439167411</v>
      </c>
      <c r="K58" s="1">
        <f t="shared" si="10"/>
        <v>1.9900531391001062</v>
      </c>
      <c r="L58" s="1">
        <f t="shared" si="11"/>
        <v>1.0340483698751199</v>
      </c>
      <c r="M58" s="1">
        <f t="shared" si="12"/>
        <v>0.65912313015819102</v>
      </c>
      <c r="N58" s="1">
        <f t="shared" si="13"/>
        <v>1.4089736095920489</v>
      </c>
      <c r="O58" s="1">
        <f t="shared" si="14"/>
        <v>0.72679289389624491</v>
      </c>
      <c r="P58" s="1">
        <f t="shared" si="15"/>
        <v>1.341303845853995</v>
      </c>
    </row>
    <row r="59" spans="1:16" x14ac:dyDescent="0.25">
      <c r="A59" s="1">
        <f t="shared" si="2"/>
        <v>0.95203175863915301</v>
      </c>
      <c r="B59" s="1">
        <f t="shared" si="3"/>
        <v>0.89880343440433497</v>
      </c>
      <c r="C59" s="1">
        <f t="shared" si="0"/>
        <v>-1.4655730404688649</v>
      </c>
      <c r="D59" s="1">
        <f t="shared" si="1"/>
        <v>3.2631799092775351</v>
      </c>
      <c r="E59" s="1">
        <f t="shared" si="4"/>
        <v>0.70252193078166592</v>
      </c>
      <c r="F59" s="1">
        <f t="shared" si="5"/>
        <v>1.095084938027004</v>
      </c>
      <c r="G59" s="1">
        <f t="shared" si="6"/>
        <v>1.2613662115636599</v>
      </c>
      <c r="H59" s="1">
        <f t="shared" si="7"/>
        <v>0.61709941812982494</v>
      </c>
      <c r="I59" s="1">
        <f t="shared" si="8"/>
        <v>1.9056330049974948</v>
      </c>
      <c r="J59" s="1">
        <f t="shared" si="9"/>
        <v>0.47230516666824496</v>
      </c>
      <c r="K59" s="1">
        <f t="shared" si="10"/>
        <v>2.0504272564590749</v>
      </c>
      <c r="L59" s="1">
        <f t="shared" si="11"/>
        <v>1.05467793990876</v>
      </c>
      <c r="M59" s="1">
        <f t="shared" si="12"/>
        <v>0.68332295317325809</v>
      </c>
      <c r="N59" s="1">
        <f t="shared" si="13"/>
        <v>1.426032926644262</v>
      </c>
      <c r="O59" s="1">
        <f t="shared" si="14"/>
        <v>0.74783665437509406</v>
      </c>
      <c r="P59" s="1">
        <f t="shared" si="15"/>
        <v>1.361519225442426</v>
      </c>
    </row>
    <row r="60" spans="1:16" x14ac:dyDescent="0.25">
      <c r="A60" s="1">
        <f t="shared" si="2"/>
        <v>0.99342444379738704</v>
      </c>
      <c r="B60" s="1">
        <f t="shared" si="3"/>
        <v>0.901080646254933</v>
      </c>
      <c r="C60" s="1">
        <f t="shared" si="0"/>
        <v>-1.7179305236146272</v>
      </c>
      <c r="D60" s="1">
        <f t="shared" si="1"/>
        <v>3.5200918161244932</v>
      </c>
      <c r="E60" s="1">
        <f t="shared" si="4"/>
        <v>0.71010382966432406</v>
      </c>
      <c r="F60" s="1">
        <f t="shared" si="5"/>
        <v>1.0920574628455419</v>
      </c>
      <c r="G60" s="1">
        <f t="shared" si="6"/>
        <v>1.46514685171794</v>
      </c>
      <c r="H60" s="1">
        <f t="shared" si="7"/>
        <v>0.62124907211827807</v>
      </c>
      <c r="I60" s="1">
        <f t="shared" si="8"/>
        <v>2.3090446313176018</v>
      </c>
      <c r="J60" s="1">
        <f t="shared" si="9"/>
        <v>0.35612219120387012</v>
      </c>
      <c r="K60" s="1">
        <f t="shared" si="10"/>
        <v>2.5741715122320099</v>
      </c>
      <c r="L60" s="1">
        <f t="shared" si="11"/>
        <v>1.10692357021721</v>
      </c>
      <c r="M60" s="1">
        <f t="shared" si="12"/>
        <v>0.71250420567962003</v>
      </c>
      <c r="N60" s="1">
        <f t="shared" si="13"/>
        <v>1.5013429347548</v>
      </c>
      <c r="O60" s="1">
        <f t="shared" si="14"/>
        <v>0.81221170973133905</v>
      </c>
      <c r="P60" s="1">
        <f t="shared" si="15"/>
        <v>1.4016354307030809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zoomScaleNormal="100" workbookViewId="0">
      <selection activeCell="A11" sqref="A11:N34"/>
    </sheetView>
  </sheetViews>
  <sheetFormatPr defaultColWidth="10.7109375" defaultRowHeight="15" x14ac:dyDescent="0.25"/>
  <cols>
    <col min="1" max="1" width="10.7109375" style="5"/>
    <col min="2" max="2" width="10.7109375" style="5" customWidth="1"/>
    <col min="3" max="16384" width="10.7109375" style="5"/>
  </cols>
  <sheetData>
    <row r="1" spans="1:17" x14ac:dyDescent="0.25">
      <c r="A1" s="5" t="s">
        <v>0</v>
      </c>
      <c r="B1" s="12">
        <v>512</v>
      </c>
      <c r="C1" s="12"/>
    </row>
    <row r="2" spans="1:17" x14ac:dyDescent="0.25">
      <c r="A2" s="5" t="s">
        <v>1</v>
      </c>
      <c r="B2" s="12">
        <v>100</v>
      </c>
      <c r="C2" s="12"/>
    </row>
    <row r="3" spans="1:17" x14ac:dyDescent="0.25">
      <c r="A3" s="5" t="s">
        <v>2</v>
      </c>
      <c r="B3" s="12">
        <v>1</v>
      </c>
      <c r="C3" s="12"/>
    </row>
    <row r="4" spans="1:17" x14ac:dyDescent="0.25">
      <c r="A4" s="5" t="s">
        <v>3</v>
      </c>
      <c r="B4" s="12">
        <v>10</v>
      </c>
      <c r="C4" s="12"/>
    </row>
    <row r="5" spans="1:17" x14ac:dyDescent="0.25">
      <c r="A5" s="5" t="s">
        <v>4</v>
      </c>
      <c r="B5" s="13">
        <v>1.1000000000000001</v>
      </c>
      <c r="C5" s="13"/>
    </row>
    <row r="6" spans="1:17" x14ac:dyDescent="0.25">
      <c r="A6" s="5" t="s">
        <v>5</v>
      </c>
      <c r="B6" s="13">
        <v>5.5100000000000003E-2</v>
      </c>
      <c r="C6" s="13"/>
    </row>
    <row r="7" spans="1:17" x14ac:dyDescent="0.25">
      <c r="A7" s="5" t="s">
        <v>6</v>
      </c>
      <c r="B7" s="11">
        <v>161803398874989</v>
      </c>
      <c r="C7" s="11"/>
    </row>
    <row r="10" spans="1:17" x14ac:dyDescent="0.25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13</v>
      </c>
      <c r="H10" s="3" t="s">
        <v>14</v>
      </c>
      <c r="I10" s="3" t="s">
        <v>15</v>
      </c>
      <c r="J10" s="3" t="s">
        <v>16</v>
      </c>
      <c r="K10" s="3" t="s">
        <v>17</v>
      </c>
      <c r="L10" s="3" t="s">
        <v>18</v>
      </c>
      <c r="M10" s="3" t="s">
        <v>19</v>
      </c>
      <c r="N10" s="3" t="s">
        <v>20</v>
      </c>
      <c r="O10" s="4" t="s">
        <v>38</v>
      </c>
      <c r="P10" s="4" t="s">
        <v>39</v>
      </c>
      <c r="Q10" s="3" t="s">
        <v>36</v>
      </c>
    </row>
    <row r="11" spans="1:17" x14ac:dyDescent="0.25">
      <c r="A11">
        <v>1.1000000000000001</v>
      </c>
      <c r="B11">
        <v>4.1392685158224501E-2</v>
      </c>
      <c r="C11">
        <v>1.30216571493341</v>
      </c>
      <c r="D11">
        <v>0.11466603246106601</v>
      </c>
      <c r="E11" s="14">
        <v>1.0437071670041E-6</v>
      </c>
      <c r="F11" s="14">
        <v>4.4009979462518098E-4</v>
      </c>
      <c r="G11">
        <v>1.1677772262325501</v>
      </c>
      <c r="H11">
        <v>6.7312417053158297E-2</v>
      </c>
      <c r="I11">
        <v>5.0111181844203299E-3</v>
      </c>
      <c r="J11">
        <v>6.4231734114027798E-3</v>
      </c>
      <c r="K11">
        <v>1.33099999999998</v>
      </c>
      <c r="L11">
        <v>0.124178055474673</v>
      </c>
      <c r="M11">
        <v>1.25118890493246E-2</v>
      </c>
      <c r="N11" s="14">
        <v>1.8466693440605099E-15</v>
      </c>
      <c r="O11" s="7">
        <v>1000</v>
      </c>
      <c r="P11" s="7">
        <v>0</v>
      </c>
      <c r="Q11" s="6">
        <v>0</v>
      </c>
    </row>
    <row r="12" spans="1:17" x14ac:dyDescent="0.25">
      <c r="A12">
        <v>1.21000000000001</v>
      </c>
      <c r="B12">
        <v>8.2785370316449003E-2</v>
      </c>
      <c r="C12">
        <v>1.32275706523894</v>
      </c>
      <c r="D12">
        <v>0.12136392631705301</v>
      </c>
      <c r="E12" s="14">
        <v>1.59142264162549E-6</v>
      </c>
      <c r="F12">
        <v>9.95522954632032E-3</v>
      </c>
      <c r="G12">
        <v>1.30802962120021</v>
      </c>
      <c r="H12">
        <v>0.11643250054653601</v>
      </c>
      <c r="I12">
        <v>1.1411484173265001E-2</v>
      </c>
      <c r="J12">
        <v>1.26576883158097E-2</v>
      </c>
      <c r="K12">
        <v>1.3365901999999801</v>
      </c>
      <c r="L12">
        <v>0.12591654825131801</v>
      </c>
      <c r="M12">
        <v>1.27953977504573E-2</v>
      </c>
      <c r="N12">
        <v>8.3070773773716803E-3</v>
      </c>
      <c r="O12" s="7">
        <v>1000</v>
      </c>
      <c r="P12" s="7">
        <v>0</v>
      </c>
      <c r="Q12" s="6">
        <v>0</v>
      </c>
    </row>
    <row r="13" spans="1:17" x14ac:dyDescent="0.25">
      <c r="A13">
        <v>1.33099999999998</v>
      </c>
      <c r="B13">
        <v>0.124178055474673</v>
      </c>
      <c r="C13">
        <v>1.4654103674022601</v>
      </c>
      <c r="D13">
        <v>0.165128280737074</v>
      </c>
      <c r="E13" s="14">
        <v>2.4648917635940498E-6</v>
      </c>
      <c r="F13">
        <v>2.6560773453286099E-2</v>
      </c>
      <c r="G13">
        <v>1.4605895042263299</v>
      </c>
      <c r="H13">
        <v>0.163996790185749</v>
      </c>
      <c r="I13">
        <v>1.9112201072133E-2</v>
      </c>
      <c r="J13">
        <v>2.1392084827116499E-2</v>
      </c>
      <c r="K13">
        <v>1.47116894099998</v>
      </c>
      <c r="L13">
        <v>0.16697809192827801</v>
      </c>
      <c r="M13">
        <v>1.9662573388196099E-2</v>
      </c>
      <c r="N13">
        <v>2.43193628785081E-2</v>
      </c>
      <c r="O13" s="7">
        <v>1000</v>
      </c>
      <c r="P13" s="7">
        <v>0</v>
      </c>
      <c r="Q13" s="6">
        <v>0</v>
      </c>
    </row>
    <row r="14" spans="1:17" x14ac:dyDescent="0.25">
      <c r="A14">
        <v>1.46409999999998</v>
      </c>
      <c r="B14">
        <v>0.16557074063289801</v>
      </c>
      <c r="C14">
        <v>1.65442391137486</v>
      </c>
      <c r="D14">
        <v>0.216857776337777</v>
      </c>
      <c r="E14" s="14">
        <v>1.8704952310660101E-5</v>
      </c>
      <c r="F14">
        <v>3.8886939292295503E-2</v>
      </c>
      <c r="G14">
        <v>1.6348322084365601</v>
      </c>
      <c r="H14">
        <v>0.21242608820430001</v>
      </c>
      <c r="I14">
        <v>2.8204125179025701E-2</v>
      </c>
      <c r="J14">
        <v>2.9926133539651002E-2</v>
      </c>
      <c r="K14">
        <v>1.6442175497109801</v>
      </c>
      <c r="L14">
        <v>0.21474525060086799</v>
      </c>
      <c r="M14">
        <v>2.8689013158888301E-2</v>
      </c>
      <c r="N14">
        <v>3.2309245017975101E-2</v>
      </c>
      <c r="O14" s="7">
        <v>1000</v>
      </c>
      <c r="P14" s="7">
        <v>0</v>
      </c>
      <c r="Q14" s="6">
        <v>0</v>
      </c>
    </row>
    <row r="15" spans="1:17" x14ac:dyDescent="0.25">
      <c r="A15">
        <v>1.6105099999999799</v>
      </c>
      <c r="B15">
        <v>0.20696342579112301</v>
      </c>
      <c r="C15">
        <v>1.8654313288819899</v>
      </c>
      <c r="D15">
        <v>0.26766133714555801</v>
      </c>
      <c r="E15" s="14">
        <v>3.60255423943644E-4</v>
      </c>
      <c r="F15">
        <v>5.1032828534481198E-2</v>
      </c>
      <c r="G15">
        <v>1.8282952241746699</v>
      </c>
      <c r="H15">
        <v>0.26012551130907102</v>
      </c>
      <c r="I15">
        <v>3.8275467451421998E-2</v>
      </c>
      <c r="J15">
        <v>4.0294506858992697E-2</v>
      </c>
      <c r="K15">
        <v>1.8388594295535301</v>
      </c>
      <c r="L15">
        <v>0.26259519464377701</v>
      </c>
      <c r="M15">
        <v>3.8805534984678799E-2</v>
      </c>
      <c r="N15">
        <v>4.0611827728767702E-2</v>
      </c>
      <c r="O15" s="7">
        <v>1000</v>
      </c>
      <c r="P15" s="7">
        <v>0</v>
      </c>
      <c r="Q15" s="6">
        <v>0</v>
      </c>
    </row>
    <row r="16" spans="1:17" x14ac:dyDescent="0.25">
      <c r="A16">
        <v>1.7715610000000099</v>
      </c>
      <c r="B16">
        <v>0.24835611094934601</v>
      </c>
      <c r="C16">
        <v>2.09892510653127</v>
      </c>
      <c r="D16">
        <v>0.31632033777255603</v>
      </c>
      <c r="E16">
        <v>1.8721456189544699E-3</v>
      </c>
      <c r="F16">
        <v>6.7956085504381702E-2</v>
      </c>
      <c r="G16">
        <v>2.04762331016018</v>
      </c>
      <c r="H16">
        <v>0.30786638561012902</v>
      </c>
      <c r="I16">
        <v>4.9387796330822499E-2</v>
      </c>
      <c r="J16">
        <v>5.3249484396288203E-2</v>
      </c>
      <c r="K16">
        <v>2.0522637612649599</v>
      </c>
      <c r="L16">
        <v>0.30870664591004199</v>
      </c>
      <c r="M16">
        <v>4.9589191740694198E-2</v>
      </c>
      <c r="N16">
        <v>5.4348453117691799E-2</v>
      </c>
      <c r="O16" s="7">
        <v>1000</v>
      </c>
      <c r="P16" s="7">
        <v>0</v>
      </c>
      <c r="Q16" s="6">
        <v>0</v>
      </c>
    </row>
    <row r="17" spans="1:17" x14ac:dyDescent="0.25">
      <c r="A17">
        <v>1.9487171000000201</v>
      </c>
      <c r="B17">
        <v>0.28974879610757398</v>
      </c>
      <c r="C17">
        <v>2.41216141864335</v>
      </c>
      <c r="D17">
        <v>0.37293389088344497</v>
      </c>
      <c r="E17">
        <v>7.3048504388082596E-3</v>
      </c>
      <c r="F17">
        <v>8.74674015859465E-2</v>
      </c>
      <c r="G17">
        <v>2.31925352419201</v>
      </c>
      <c r="H17">
        <v>0.359947504867555</v>
      </c>
      <c r="I17">
        <v>6.2545501585148294E-2</v>
      </c>
      <c r="J17">
        <v>6.7086957791683097E-2</v>
      </c>
      <c r="K17">
        <v>2.3251359740125701</v>
      </c>
      <c r="L17">
        <v>0.36082003652424699</v>
      </c>
      <c r="M17">
        <v>6.2766237406029005E-2</v>
      </c>
      <c r="N17">
        <v>6.8637767658388596E-2</v>
      </c>
      <c r="O17" s="7">
        <v>1000</v>
      </c>
      <c r="P17" s="7">
        <v>0</v>
      </c>
      <c r="Q17" s="6">
        <v>0</v>
      </c>
    </row>
    <row r="18" spans="1:17" x14ac:dyDescent="0.25">
      <c r="A18">
        <v>2.1435888099999798</v>
      </c>
      <c r="B18">
        <v>0.33114148126579601</v>
      </c>
      <c r="C18">
        <v>2.6607685189460799</v>
      </c>
      <c r="D18">
        <v>0.41323755401670698</v>
      </c>
      <c r="E18">
        <v>1.12787417376949E-2</v>
      </c>
      <c r="F18">
        <v>9.7427153644833495E-2</v>
      </c>
      <c r="G18">
        <v>2.57000435390264</v>
      </c>
      <c r="H18">
        <v>0.402963162424754</v>
      </c>
      <c r="I18">
        <v>7.4098435596714904E-2</v>
      </c>
      <c r="J18">
        <v>7.5714973815290701E-2</v>
      </c>
      <c r="K18">
        <v>2.5753492357135399</v>
      </c>
      <c r="L18">
        <v>0.40378564371848402</v>
      </c>
      <c r="M18">
        <v>7.4285645102941694E-2</v>
      </c>
      <c r="N18">
        <v>7.6463251906788696E-2</v>
      </c>
      <c r="O18" s="7">
        <v>1000</v>
      </c>
      <c r="P18" s="7">
        <v>0</v>
      </c>
      <c r="Q18" s="6">
        <v>0</v>
      </c>
    </row>
    <row r="19" spans="1:17" x14ac:dyDescent="0.25">
      <c r="A19">
        <v>2.3579476909999699</v>
      </c>
      <c r="B19">
        <v>0.37253416642402998</v>
      </c>
      <c r="C19">
        <v>2.9998173844687299</v>
      </c>
      <c r="D19">
        <v>0.46045385063524602</v>
      </c>
      <c r="E19">
        <v>1.6708368857061302E-2</v>
      </c>
      <c r="F19">
        <v>0.115211873563698</v>
      </c>
      <c r="G19">
        <v>2.9253278656525299</v>
      </c>
      <c r="H19">
        <v>0.45443448335575298</v>
      </c>
      <c r="I19">
        <v>8.9044750067705597E-2</v>
      </c>
      <c r="J19">
        <v>9.6570915913657004E-2</v>
      </c>
      <c r="K19">
        <v>2.9310642015499999</v>
      </c>
      <c r="L19">
        <v>0.45531953674047498</v>
      </c>
      <c r="M19">
        <v>8.9156905458483399E-2</v>
      </c>
      <c r="N19">
        <v>9.6360707886003399E-2</v>
      </c>
      <c r="O19" s="7">
        <v>1000</v>
      </c>
      <c r="P19" s="7">
        <v>0</v>
      </c>
      <c r="Q19" s="6">
        <v>0</v>
      </c>
    </row>
    <row r="20" spans="1:17" x14ac:dyDescent="0.25">
      <c r="A20">
        <v>2.5937424601000201</v>
      </c>
      <c r="B20">
        <v>0.41392685158224601</v>
      </c>
      <c r="C20">
        <v>3.3306191008875001</v>
      </c>
      <c r="D20">
        <v>0.50037025096187904</v>
      </c>
      <c r="E20">
        <v>2.4376670921808501E-2</v>
      </c>
      <c r="F20">
        <v>0.131110538524598</v>
      </c>
      <c r="G20">
        <v>3.2641366118156401</v>
      </c>
      <c r="H20">
        <v>0.49875747980676399</v>
      </c>
      <c r="I20">
        <v>0.102442083599894</v>
      </c>
      <c r="J20">
        <v>0.107995811698834</v>
      </c>
      <c r="K20">
        <v>3.26514095052408</v>
      </c>
      <c r="L20">
        <v>0.49915439032303599</v>
      </c>
      <c r="M20">
        <v>0.102134632767562</v>
      </c>
      <c r="N20">
        <v>0.107240061593288</v>
      </c>
      <c r="O20" s="7">
        <v>1000</v>
      </c>
      <c r="P20" s="7">
        <v>0</v>
      </c>
      <c r="Q20" s="6">
        <v>0</v>
      </c>
    </row>
    <row r="21" spans="1:17" x14ac:dyDescent="0.25">
      <c r="A21">
        <v>2.85311670611005</v>
      </c>
      <c r="B21">
        <v>0.45531953674048498</v>
      </c>
      <c r="C21">
        <v>3.7869607132705601</v>
      </c>
      <c r="D21">
        <v>0.55006586976090499</v>
      </c>
      <c r="E21">
        <v>3.4775310510337297E-2</v>
      </c>
      <c r="F21">
        <v>0.14893577555832799</v>
      </c>
      <c r="G21">
        <v>3.7892840909545602</v>
      </c>
      <c r="H21">
        <v>0.55527950707108797</v>
      </c>
      <c r="I21">
        <v>0.12077502356957</v>
      </c>
      <c r="J21">
        <v>0.13272675771960901</v>
      </c>
      <c r="K21">
        <v>3.79375570961709</v>
      </c>
      <c r="L21">
        <v>0.55456479004804105</v>
      </c>
      <c r="M21">
        <v>0.120141652873996</v>
      </c>
      <c r="N21">
        <v>0.13429552188812599</v>
      </c>
      <c r="O21" s="7">
        <v>1000</v>
      </c>
      <c r="P21" s="7">
        <v>0</v>
      </c>
      <c r="Q21" s="6">
        <v>0</v>
      </c>
    </row>
    <row r="22" spans="1:17" x14ac:dyDescent="0.25">
      <c r="A22">
        <v>3.1384283767210501</v>
      </c>
      <c r="B22">
        <v>0.49671222189869302</v>
      </c>
      <c r="C22">
        <v>4.0979336961794504</v>
      </c>
      <c r="D22">
        <v>0.58245760582727302</v>
      </c>
      <c r="E22">
        <v>4.5070296007286598E-2</v>
      </c>
      <c r="F22">
        <v>0.15491904914465501</v>
      </c>
      <c r="G22">
        <v>4.3115401969200002</v>
      </c>
      <c r="H22">
        <v>0.60228967663775002</v>
      </c>
      <c r="I22">
        <v>0.136775884125096</v>
      </c>
      <c r="J22">
        <v>0.15290455908154099</v>
      </c>
      <c r="K22">
        <v>4.3179891081238804</v>
      </c>
      <c r="L22">
        <v>0.60232746864870801</v>
      </c>
      <c r="M22">
        <v>0.139168697766101</v>
      </c>
      <c r="N22">
        <v>0.15409406782673499</v>
      </c>
      <c r="O22" s="7">
        <v>1000</v>
      </c>
      <c r="P22" s="7">
        <v>0</v>
      </c>
      <c r="Q22" s="6">
        <v>0</v>
      </c>
    </row>
    <row r="23" spans="1:17" x14ac:dyDescent="0.25">
      <c r="A23">
        <v>3.4522712143930399</v>
      </c>
      <c r="B23">
        <v>0.53810490705693204</v>
      </c>
      <c r="C23">
        <v>4.3934274097077299</v>
      </c>
      <c r="D23">
        <v>0.60939596760479797</v>
      </c>
      <c r="E23">
        <v>5.1496748065856301E-2</v>
      </c>
      <c r="F23">
        <v>0.163203676255499</v>
      </c>
      <c r="G23">
        <v>4.9108067324280604</v>
      </c>
      <c r="H23">
        <v>0.65129809692679796</v>
      </c>
      <c r="I23">
        <v>0.15365791168901799</v>
      </c>
      <c r="J23">
        <v>0.16273704822083901</v>
      </c>
      <c r="K23">
        <v>4.8791375162617898</v>
      </c>
      <c r="L23">
        <v>0.65127472661769603</v>
      </c>
      <c r="M23">
        <v>0.161866539248464</v>
      </c>
      <c r="N23">
        <v>0.162270025052697</v>
      </c>
      <c r="O23" s="7">
        <v>1000</v>
      </c>
      <c r="P23" s="7">
        <v>0</v>
      </c>
      <c r="Q23" s="6">
        <v>0</v>
      </c>
    </row>
    <row r="24" spans="1:17" x14ac:dyDescent="0.25">
      <c r="A24">
        <v>3.79749833583231</v>
      </c>
      <c r="B24">
        <v>0.57949759221514796</v>
      </c>
      <c r="C24">
        <v>4.6931508974499803</v>
      </c>
      <c r="D24">
        <v>0.63490082676760395</v>
      </c>
      <c r="E24">
        <v>0.35970174631733098</v>
      </c>
      <c r="F24">
        <v>0.171701502548673</v>
      </c>
      <c r="G24">
        <v>5.4679833697422202</v>
      </c>
      <c r="H24">
        <v>0.69202918845384498</v>
      </c>
      <c r="I24">
        <v>0.16854588582234001</v>
      </c>
      <c r="J24">
        <v>0.17815803349822701</v>
      </c>
      <c r="K24">
        <v>5.4566469130232198</v>
      </c>
      <c r="L24">
        <v>0.69173756824337895</v>
      </c>
      <c r="M24">
        <v>0.17479113566721599</v>
      </c>
      <c r="N24">
        <v>0.178871917737396</v>
      </c>
      <c r="O24" s="7">
        <v>1000</v>
      </c>
      <c r="P24" s="7">
        <v>0</v>
      </c>
      <c r="Q24" s="6">
        <v>0</v>
      </c>
    </row>
    <row r="25" spans="1:17" x14ac:dyDescent="0.25">
      <c r="A25">
        <v>4.1772481694156403</v>
      </c>
      <c r="B25">
        <v>0.62089027737336999</v>
      </c>
      <c r="C25">
        <v>5.2510621300644402</v>
      </c>
      <c r="D25">
        <v>0.67886775644335295</v>
      </c>
      <c r="E25">
        <v>0.17457621911009399</v>
      </c>
      <c r="F25">
        <v>0.18252962008332299</v>
      </c>
      <c r="G25">
        <v>6.9360888130597997</v>
      </c>
      <c r="H25">
        <v>0.76106447362325702</v>
      </c>
      <c r="I25">
        <v>0.19522363738985599</v>
      </c>
      <c r="J25">
        <v>0.214147569776591</v>
      </c>
      <c r="K25">
        <v>6.4617910405946803</v>
      </c>
      <c r="L25">
        <v>0.75496312603605997</v>
      </c>
      <c r="M25">
        <v>0.20919576944767801</v>
      </c>
      <c r="N25">
        <v>0.20266292533078401</v>
      </c>
      <c r="O25" s="7">
        <v>1000</v>
      </c>
      <c r="P25" s="7">
        <v>0</v>
      </c>
      <c r="Q25" s="6">
        <v>0</v>
      </c>
    </row>
    <row r="26" spans="1:17" x14ac:dyDescent="0.25">
      <c r="A26">
        <v>4.5949729863572504</v>
      </c>
      <c r="B26">
        <v>0.66228296253159202</v>
      </c>
      <c r="C26">
        <v>5.6751289531017601</v>
      </c>
      <c r="D26">
        <v>0.70919405028091398</v>
      </c>
      <c r="E26">
        <v>0.426666862155124</v>
      </c>
      <c r="F26">
        <v>0.194370400084239</v>
      </c>
      <c r="G26">
        <v>7.8467476767106303</v>
      </c>
      <c r="H26">
        <v>0.81690070703309003</v>
      </c>
      <c r="I26">
        <v>0.21713100173812799</v>
      </c>
      <c r="J26">
        <v>0.22958096570512801</v>
      </c>
      <c r="K26">
        <v>7.6824007315948197</v>
      </c>
      <c r="L26">
        <v>0.81547712525006999</v>
      </c>
      <c r="M26">
        <v>0.22316413916616101</v>
      </c>
      <c r="N26">
        <v>0.226736427401797</v>
      </c>
      <c r="O26" s="7">
        <v>1000</v>
      </c>
      <c r="P26" s="7">
        <v>0</v>
      </c>
      <c r="Q26" s="6">
        <v>0</v>
      </c>
    </row>
    <row r="27" spans="1:17" x14ac:dyDescent="0.25">
      <c r="A27">
        <v>5.0544702849929299</v>
      </c>
      <c r="B27">
        <v>0.70367564768981405</v>
      </c>
      <c r="C27">
        <v>5.97873851102975</v>
      </c>
      <c r="D27">
        <v>0.73147188736475899</v>
      </c>
      <c r="E27">
        <v>0.46527429828566202</v>
      </c>
      <c r="F27">
        <v>0.19444788663125301</v>
      </c>
      <c r="G27">
        <v>11.4417407532779</v>
      </c>
      <c r="H27">
        <v>0.85213935303149502</v>
      </c>
      <c r="I27">
        <v>0.23306166084745999</v>
      </c>
      <c r="J27">
        <v>0.27478763272687501</v>
      </c>
      <c r="K27">
        <v>8.1328553651827207</v>
      </c>
      <c r="L27">
        <v>0.83504008504955796</v>
      </c>
      <c r="M27">
        <v>0.236799843185274</v>
      </c>
      <c r="N27">
        <v>0.240503854209345</v>
      </c>
      <c r="O27" s="7">
        <v>1000</v>
      </c>
      <c r="P27" s="7">
        <v>0</v>
      </c>
      <c r="Q27" s="6">
        <v>0</v>
      </c>
    </row>
    <row r="28" spans="1:17" x14ac:dyDescent="0.25">
      <c r="A28">
        <v>5.5599173134923303</v>
      </c>
      <c r="B28">
        <v>0.74506833284806095</v>
      </c>
      <c r="C28">
        <v>6.4234643253497099</v>
      </c>
      <c r="D28">
        <v>0.76695449865095799</v>
      </c>
      <c r="E28">
        <v>0.48188134353420597</v>
      </c>
      <c r="F28">
        <v>0.18323436812667401</v>
      </c>
      <c r="G28">
        <v>13.299866956545101</v>
      </c>
      <c r="H28">
        <v>0.93054972233481903</v>
      </c>
      <c r="I28">
        <v>0.265837616315932</v>
      </c>
      <c r="J28">
        <v>0.29669930753024398</v>
      </c>
      <c r="K28">
        <v>9.4222197099155398</v>
      </c>
      <c r="L28">
        <v>0.89430781104292401</v>
      </c>
      <c r="M28">
        <v>0.278247532878583</v>
      </c>
      <c r="N28">
        <v>0.258984847407637</v>
      </c>
      <c r="O28" s="7">
        <v>1000</v>
      </c>
      <c r="P28" s="7">
        <v>0</v>
      </c>
      <c r="Q28" s="6">
        <v>0</v>
      </c>
    </row>
    <row r="29" spans="1:17" x14ac:dyDescent="0.25">
      <c r="A29">
        <v>6.1159090448415396</v>
      </c>
      <c r="B29">
        <v>0.78646101800628598</v>
      </c>
      <c r="C29">
        <v>6.2990129472704597</v>
      </c>
      <c r="D29">
        <v>0.75323200577656502</v>
      </c>
      <c r="E29">
        <v>0.227934941060802</v>
      </c>
      <c r="F29">
        <v>0.19242822757749101</v>
      </c>
      <c r="G29">
        <v>12.8517701353021</v>
      </c>
      <c r="H29">
        <v>0.96457327203716403</v>
      </c>
      <c r="I29">
        <v>0.27983093478708299</v>
      </c>
      <c r="J29">
        <v>0.29285278172722901</v>
      </c>
      <c r="K29">
        <v>10.289928451704499</v>
      </c>
      <c r="L29">
        <v>0.93159278250163902</v>
      </c>
      <c r="M29">
        <v>0.31314781516310303</v>
      </c>
      <c r="N29">
        <v>0.26488494927400702</v>
      </c>
      <c r="O29" s="7">
        <v>1000</v>
      </c>
      <c r="P29" s="7">
        <v>0</v>
      </c>
      <c r="Q29" s="6">
        <v>0</v>
      </c>
    </row>
    <row r="30" spans="1:17" x14ac:dyDescent="0.25">
      <c r="A30">
        <v>6.7274999493256402</v>
      </c>
      <c r="B30">
        <v>0.82785370316449203</v>
      </c>
      <c r="C30">
        <v>6.9014549267093503</v>
      </c>
      <c r="D30">
        <v>0.78625805996419795</v>
      </c>
      <c r="E30">
        <v>0.57849087376924402</v>
      </c>
      <c r="F30">
        <v>0.21161188674763101</v>
      </c>
      <c r="G30">
        <v>22.979180935892</v>
      </c>
      <c r="H30">
        <v>1.0382102720810999</v>
      </c>
      <c r="I30">
        <v>0.31512105490609199</v>
      </c>
      <c r="J30">
        <v>0.36065345522572101</v>
      </c>
      <c r="K30">
        <v>11.1030368835115</v>
      </c>
      <c r="L30">
        <v>0.95737718464384503</v>
      </c>
      <c r="M30">
        <v>0.30182137140677701</v>
      </c>
      <c r="N30">
        <v>0.28912691017228798</v>
      </c>
      <c r="O30" s="7">
        <v>1000</v>
      </c>
      <c r="P30" s="7">
        <v>0</v>
      </c>
      <c r="Q30" s="6">
        <v>0</v>
      </c>
    </row>
    <row r="31" spans="1:17" x14ac:dyDescent="0.25">
      <c r="A31">
        <v>7.4002499442583201</v>
      </c>
      <c r="B31">
        <v>0.86924638832272205</v>
      </c>
      <c r="C31">
        <v>7.6260271259749599</v>
      </c>
      <c r="D31">
        <v>0.83026649838098499</v>
      </c>
      <c r="E31">
        <v>0.54311846105892003</v>
      </c>
      <c r="F31">
        <v>0.218959132257498</v>
      </c>
      <c r="G31">
        <v>22.925937711400501</v>
      </c>
      <c r="H31">
        <v>1.0943575153570999</v>
      </c>
      <c r="I31">
        <v>0.339825776169219</v>
      </c>
      <c r="J31">
        <v>0.35910927920749203</v>
      </c>
      <c r="K31">
        <v>12.5529285973751</v>
      </c>
      <c r="L31">
        <v>1.00675094507316</v>
      </c>
      <c r="M31">
        <v>0.33314190618592998</v>
      </c>
      <c r="N31">
        <v>0.303040763208344</v>
      </c>
      <c r="O31" s="7">
        <v>1000</v>
      </c>
      <c r="P31" s="7">
        <v>0</v>
      </c>
      <c r="Q31" s="6">
        <v>0</v>
      </c>
    </row>
    <row r="32" spans="1:17" x14ac:dyDescent="0.25">
      <c r="A32">
        <v>8.1402749386841204</v>
      </c>
      <c r="B32">
        <v>0.91063907348097095</v>
      </c>
      <c r="C32">
        <v>8.24495806517284</v>
      </c>
      <c r="D32">
        <v>0.880818909498709</v>
      </c>
      <c r="E32">
        <v>0.34040799656632198</v>
      </c>
      <c r="F32">
        <v>0.18445259969296299</v>
      </c>
      <c r="G32">
        <v>1330.4120083032899</v>
      </c>
      <c r="H32">
        <v>1.14441783535011</v>
      </c>
      <c r="I32">
        <v>0.36632026620535701</v>
      </c>
      <c r="J32">
        <v>0.42434145386396699</v>
      </c>
      <c r="K32">
        <v>12.9391657165721</v>
      </c>
      <c r="L32">
        <v>1.0132189739324</v>
      </c>
      <c r="M32">
        <v>0.32606990493647098</v>
      </c>
      <c r="N32">
        <v>0.32247257322631001</v>
      </c>
      <c r="O32" s="7">
        <v>1000</v>
      </c>
      <c r="P32" s="7">
        <v>0</v>
      </c>
      <c r="Q32" s="6">
        <v>0</v>
      </c>
    </row>
    <row r="33" spans="1:17" x14ac:dyDescent="0.25">
      <c r="A33">
        <v>8.9543024325522893</v>
      </c>
      <c r="B33">
        <v>0.95203175863915301</v>
      </c>
      <c r="C33">
        <v>8.3494565907594698</v>
      </c>
      <c r="D33">
        <v>0.89493270161034799</v>
      </c>
      <c r="E33">
        <v>0.59425110045833496</v>
      </c>
      <c r="F33">
        <v>0.158629363554317</v>
      </c>
      <c r="G33">
        <v>2695.7143872226302</v>
      </c>
      <c r="H33">
        <v>1.24071114366831</v>
      </c>
      <c r="I33">
        <v>0.41688194584393301</v>
      </c>
      <c r="J33">
        <v>0.50611894487764697</v>
      </c>
      <c r="K33">
        <v>14.418477469118301</v>
      </c>
      <c r="L33">
        <v>1.0477932118531801</v>
      </c>
      <c r="M33">
        <v>0.32511851199332498</v>
      </c>
      <c r="N33">
        <v>0.35887821955306798</v>
      </c>
      <c r="O33" s="7">
        <v>1000</v>
      </c>
      <c r="P33" s="7">
        <v>0</v>
      </c>
      <c r="Q33" s="6">
        <v>0</v>
      </c>
    </row>
    <row r="34" spans="1:17" x14ac:dyDescent="0.25">
      <c r="A34">
        <v>9.8497326758077506</v>
      </c>
      <c r="B34">
        <v>0.99342444379738704</v>
      </c>
      <c r="C34">
        <v>7.9372886822080799</v>
      </c>
      <c r="D34">
        <v>0.87590954564341705</v>
      </c>
      <c r="E34">
        <v>0.30439997682873299</v>
      </c>
      <c r="F34">
        <v>0.14386298752627599</v>
      </c>
      <c r="G34" s="14">
        <v>1690228367.77156</v>
      </c>
      <c r="H34">
        <v>1.30176563408068</v>
      </c>
      <c r="I34">
        <v>0.45336642502472002</v>
      </c>
      <c r="J34">
        <v>0.61710639582942395</v>
      </c>
      <c r="K34">
        <v>14.9129360691329</v>
      </c>
      <c r="L34">
        <v>1.0532738783409501</v>
      </c>
      <c r="M34">
        <v>0.32183489469277698</v>
      </c>
      <c r="N34">
        <v>0.382672451610653</v>
      </c>
      <c r="O34" s="7">
        <v>1000</v>
      </c>
      <c r="P34" s="7">
        <v>0</v>
      </c>
      <c r="Q34" s="6">
        <v>0</v>
      </c>
    </row>
    <row r="36" spans="1:17" x14ac:dyDescent="0.25">
      <c r="A36" s="3" t="s">
        <v>8</v>
      </c>
      <c r="B36" s="3" t="s">
        <v>25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26</v>
      </c>
      <c r="H36" s="3" t="s">
        <v>27</v>
      </c>
      <c r="I36" s="3" t="s">
        <v>28</v>
      </c>
      <c r="J36" s="3" t="s">
        <v>29</v>
      </c>
      <c r="K36" s="3" t="s">
        <v>30</v>
      </c>
      <c r="L36" s="3" t="s">
        <v>31</v>
      </c>
      <c r="M36" s="3" t="s">
        <v>32</v>
      </c>
      <c r="N36" s="3" t="s">
        <v>33</v>
      </c>
      <c r="O36" s="3" t="s">
        <v>34</v>
      </c>
      <c r="P36" s="3" t="s">
        <v>35</v>
      </c>
    </row>
    <row r="37" spans="1:17" x14ac:dyDescent="0.25">
      <c r="A37" s="6">
        <f>$B11</f>
        <v>4.1392685158224501E-2</v>
      </c>
      <c r="B37" s="6">
        <f>$D11</f>
        <v>0.11466603246106601</v>
      </c>
      <c r="C37" s="6">
        <f t="shared" ref="C37:C60" si="0">B37-$E11</f>
        <v>0.11466498875389901</v>
      </c>
      <c r="D37" s="6">
        <f t="shared" ref="D37:D60" si="1">B37+$E11</f>
        <v>0.114667076168233</v>
      </c>
      <c r="E37" s="6">
        <f>$B37-$F11</f>
        <v>0.11422593266644082</v>
      </c>
      <c r="F37" s="6">
        <f>$B37+$F11</f>
        <v>0.11510613225569119</v>
      </c>
      <c r="G37" s="6">
        <f>$H11</f>
        <v>6.7312417053158297E-2</v>
      </c>
      <c r="H37" s="6">
        <f>$G37-$I11</f>
        <v>6.2301298868737968E-2</v>
      </c>
      <c r="I37" s="6">
        <f>$G37+$I11</f>
        <v>7.2323535237578632E-2</v>
      </c>
      <c r="J37" s="6">
        <f>$G37-$J11</f>
        <v>6.0889243641755519E-2</v>
      </c>
      <c r="K37" s="6">
        <f>$G37+$J11</f>
        <v>7.3735590464561074E-2</v>
      </c>
      <c r="L37" s="6">
        <f>$L11</f>
        <v>0.124178055474673</v>
      </c>
      <c r="M37" s="6">
        <f>$L37-$M11</f>
        <v>0.11166616642534841</v>
      </c>
      <c r="N37" s="6">
        <f>$L37+$M11</f>
        <v>0.1366899445239976</v>
      </c>
      <c r="O37" s="6">
        <f>$L37-$N11</f>
        <v>0.12417805547467116</v>
      </c>
      <c r="P37" s="6">
        <f>$L37+$N11</f>
        <v>0.12417805547467485</v>
      </c>
    </row>
    <row r="38" spans="1:17" x14ac:dyDescent="0.25">
      <c r="A38" s="6">
        <f t="shared" ref="A38:A60" si="2">$B12</f>
        <v>8.2785370316449003E-2</v>
      </c>
      <c r="B38" s="6">
        <f t="shared" ref="B38:B60" si="3">$D12</f>
        <v>0.12136392631705301</v>
      </c>
      <c r="C38" s="6">
        <f t="shared" si="0"/>
        <v>0.12136233489441138</v>
      </c>
      <c r="D38" s="6">
        <f t="shared" si="1"/>
        <v>0.12136551773969463</v>
      </c>
      <c r="E38" s="6">
        <f t="shared" ref="E38:E60" si="4">$B38-$F12</f>
        <v>0.11140869677073269</v>
      </c>
      <c r="F38" s="6">
        <f t="shared" ref="F38:F60" si="5">$B38+$F12</f>
        <v>0.13131915586337334</v>
      </c>
      <c r="G38" s="6">
        <f t="shared" ref="G38:G60" si="6">$H12</f>
        <v>0.11643250054653601</v>
      </c>
      <c r="H38" s="6">
        <f t="shared" ref="H38:H60" si="7">$G38-$I12</f>
        <v>0.10502101637327101</v>
      </c>
      <c r="I38" s="6">
        <f t="shared" ref="I38:I60" si="8">$G38+$I12</f>
        <v>0.12784398471980102</v>
      </c>
      <c r="J38" s="6">
        <f t="shared" ref="J38:J60" si="9">$G38-$J12</f>
        <v>0.10377481223072631</v>
      </c>
      <c r="K38" s="6">
        <f t="shared" ref="K38:K60" si="10">$G38+$J12</f>
        <v>0.12909018886234572</v>
      </c>
      <c r="L38" s="6">
        <f t="shared" ref="L38:L60" si="11">$L12</f>
        <v>0.12591654825131801</v>
      </c>
      <c r="M38" s="6">
        <f t="shared" ref="M38:M60" si="12">$L38-$M12</f>
        <v>0.11312115050086072</v>
      </c>
      <c r="N38" s="6">
        <f t="shared" ref="N38:N60" si="13">$L38+$M12</f>
        <v>0.1387119460017753</v>
      </c>
      <c r="O38" s="6">
        <f t="shared" ref="O38:O60" si="14">$L38-$N12</f>
        <v>0.11760947087394633</v>
      </c>
      <c r="P38" s="6">
        <f t="shared" ref="P38:P60" si="15">$L38+$N12</f>
        <v>0.1342236256286897</v>
      </c>
    </row>
    <row r="39" spans="1:17" x14ac:dyDescent="0.25">
      <c r="A39" s="6">
        <f t="shared" si="2"/>
        <v>0.124178055474673</v>
      </c>
      <c r="B39" s="6">
        <f t="shared" si="3"/>
        <v>0.165128280737074</v>
      </c>
      <c r="C39" s="6">
        <f t="shared" si="0"/>
        <v>0.16512581584531041</v>
      </c>
      <c r="D39" s="6">
        <f t="shared" si="1"/>
        <v>0.16513074562883759</v>
      </c>
      <c r="E39" s="6">
        <f t="shared" si="4"/>
        <v>0.13856750728378792</v>
      </c>
      <c r="F39" s="6">
        <f t="shared" si="5"/>
        <v>0.19168905419036009</v>
      </c>
      <c r="G39" s="6">
        <f t="shared" si="6"/>
        <v>0.163996790185749</v>
      </c>
      <c r="H39" s="6">
        <f t="shared" si="7"/>
        <v>0.14488458911361601</v>
      </c>
      <c r="I39" s="6">
        <f t="shared" si="8"/>
        <v>0.18310899125788199</v>
      </c>
      <c r="J39" s="6">
        <f t="shared" si="9"/>
        <v>0.14260470535863251</v>
      </c>
      <c r="K39" s="6">
        <f t="shared" si="10"/>
        <v>0.18538887501286549</v>
      </c>
      <c r="L39" s="6">
        <f t="shared" si="11"/>
        <v>0.16697809192827801</v>
      </c>
      <c r="M39" s="6">
        <f t="shared" si="12"/>
        <v>0.1473155185400819</v>
      </c>
      <c r="N39" s="6">
        <f t="shared" si="13"/>
        <v>0.18664066531647411</v>
      </c>
      <c r="O39" s="6">
        <f t="shared" si="14"/>
        <v>0.14265872904976989</v>
      </c>
      <c r="P39" s="6">
        <f t="shared" si="15"/>
        <v>0.19129745480678612</v>
      </c>
    </row>
    <row r="40" spans="1:17" x14ac:dyDescent="0.25">
      <c r="A40" s="6">
        <f t="shared" si="2"/>
        <v>0.16557074063289801</v>
      </c>
      <c r="B40" s="6">
        <f t="shared" si="3"/>
        <v>0.216857776337777</v>
      </c>
      <c r="C40" s="6">
        <f t="shared" si="0"/>
        <v>0.21683907138546635</v>
      </c>
      <c r="D40" s="6">
        <f t="shared" si="1"/>
        <v>0.21687648129008766</v>
      </c>
      <c r="E40" s="6">
        <f t="shared" si="4"/>
        <v>0.1779708370454815</v>
      </c>
      <c r="F40" s="6">
        <f t="shared" si="5"/>
        <v>0.25574471563007251</v>
      </c>
      <c r="G40" s="6">
        <f t="shared" si="6"/>
        <v>0.21242608820430001</v>
      </c>
      <c r="H40" s="6">
        <f t="shared" si="7"/>
        <v>0.1842219630252743</v>
      </c>
      <c r="I40" s="6">
        <f t="shared" si="8"/>
        <v>0.24063021338332571</v>
      </c>
      <c r="J40" s="6">
        <f t="shared" si="9"/>
        <v>0.18249995466464899</v>
      </c>
      <c r="K40" s="6">
        <f t="shared" si="10"/>
        <v>0.24235222174395102</v>
      </c>
      <c r="L40" s="6">
        <f t="shared" si="11"/>
        <v>0.21474525060086799</v>
      </c>
      <c r="M40" s="6">
        <f t="shared" si="12"/>
        <v>0.18605623744197969</v>
      </c>
      <c r="N40" s="6">
        <f t="shared" si="13"/>
        <v>0.2434342637597563</v>
      </c>
      <c r="O40" s="6">
        <f t="shared" si="14"/>
        <v>0.18243600558289289</v>
      </c>
      <c r="P40" s="6">
        <f t="shared" si="15"/>
        <v>0.2470544956188431</v>
      </c>
    </row>
    <row r="41" spans="1:17" x14ac:dyDescent="0.25">
      <c r="A41" s="6">
        <f t="shared" si="2"/>
        <v>0.20696342579112301</v>
      </c>
      <c r="B41" s="6">
        <f t="shared" si="3"/>
        <v>0.26766133714555801</v>
      </c>
      <c r="C41" s="6">
        <f t="shared" si="0"/>
        <v>0.26730108172161438</v>
      </c>
      <c r="D41" s="6">
        <f t="shared" si="1"/>
        <v>0.26802159256950164</v>
      </c>
      <c r="E41" s="6">
        <f t="shared" si="4"/>
        <v>0.2166285086110768</v>
      </c>
      <c r="F41" s="6">
        <f t="shared" si="5"/>
        <v>0.31869416568003922</v>
      </c>
      <c r="G41" s="6">
        <f t="shared" si="6"/>
        <v>0.26012551130907102</v>
      </c>
      <c r="H41" s="6">
        <f t="shared" si="7"/>
        <v>0.22185004385764903</v>
      </c>
      <c r="I41" s="6">
        <f t="shared" si="8"/>
        <v>0.29840097876049304</v>
      </c>
      <c r="J41" s="6">
        <f t="shared" si="9"/>
        <v>0.21983100445007833</v>
      </c>
      <c r="K41" s="6">
        <f t="shared" si="10"/>
        <v>0.30042001816806374</v>
      </c>
      <c r="L41" s="6">
        <f t="shared" si="11"/>
        <v>0.26259519464377701</v>
      </c>
      <c r="M41" s="6">
        <f t="shared" si="12"/>
        <v>0.22378965965909819</v>
      </c>
      <c r="N41" s="6">
        <f t="shared" si="13"/>
        <v>0.30140072962845582</v>
      </c>
      <c r="O41" s="6">
        <f t="shared" si="14"/>
        <v>0.22198336691500931</v>
      </c>
      <c r="P41" s="6">
        <f t="shared" si="15"/>
        <v>0.30320702237254471</v>
      </c>
    </row>
    <row r="42" spans="1:17" x14ac:dyDescent="0.25">
      <c r="A42" s="6">
        <f t="shared" si="2"/>
        <v>0.24835611094934601</v>
      </c>
      <c r="B42" s="6">
        <f t="shared" si="3"/>
        <v>0.31632033777255603</v>
      </c>
      <c r="C42" s="6">
        <f t="shared" si="0"/>
        <v>0.31444819215360154</v>
      </c>
      <c r="D42" s="6">
        <f t="shared" si="1"/>
        <v>0.31819248339151052</v>
      </c>
      <c r="E42" s="6">
        <f t="shared" si="4"/>
        <v>0.24836425226817432</v>
      </c>
      <c r="F42" s="6">
        <f t="shared" si="5"/>
        <v>0.38427642327693773</v>
      </c>
      <c r="G42" s="6">
        <f t="shared" si="6"/>
        <v>0.30786638561012902</v>
      </c>
      <c r="H42" s="6">
        <f t="shared" si="7"/>
        <v>0.2584785892793065</v>
      </c>
      <c r="I42" s="6">
        <f t="shared" si="8"/>
        <v>0.35725418194095154</v>
      </c>
      <c r="J42" s="6">
        <f t="shared" si="9"/>
        <v>0.25461690121384084</v>
      </c>
      <c r="K42" s="6">
        <f t="shared" si="10"/>
        <v>0.36111587000641721</v>
      </c>
      <c r="L42" s="6">
        <f t="shared" si="11"/>
        <v>0.30870664591004199</v>
      </c>
      <c r="M42" s="6">
        <f t="shared" si="12"/>
        <v>0.25911745416934778</v>
      </c>
      <c r="N42" s="6">
        <f t="shared" si="13"/>
        <v>0.35829583765073619</v>
      </c>
      <c r="O42" s="6">
        <f t="shared" si="14"/>
        <v>0.25435819279235017</v>
      </c>
      <c r="P42" s="6">
        <f t="shared" si="15"/>
        <v>0.36305509902773381</v>
      </c>
    </row>
    <row r="43" spans="1:17" x14ac:dyDescent="0.25">
      <c r="A43" s="6">
        <f t="shared" si="2"/>
        <v>0.28974879610757398</v>
      </c>
      <c r="B43" s="6">
        <f t="shared" si="3"/>
        <v>0.37293389088344497</v>
      </c>
      <c r="C43" s="6">
        <f t="shared" si="0"/>
        <v>0.36562904044463673</v>
      </c>
      <c r="D43" s="6">
        <f t="shared" si="1"/>
        <v>0.38023874132225322</v>
      </c>
      <c r="E43" s="6">
        <f t="shared" si="4"/>
        <v>0.28546648929749846</v>
      </c>
      <c r="F43" s="6">
        <f t="shared" si="5"/>
        <v>0.46040129246939149</v>
      </c>
      <c r="G43" s="6">
        <f t="shared" si="6"/>
        <v>0.359947504867555</v>
      </c>
      <c r="H43" s="6">
        <f t="shared" si="7"/>
        <v>0.29740200328240673</v>
      </c>
      <c r="I43" s="6">
        <f t="shared" si="8"/>
        <v>0.42249300645270327</v>
      </c>
      <c r="J43" s="6">
        <f t="shared" si="9"/>
        <v>0.29286054707587189</v>
      </c>
      <c r="K43" s="6">
        <f t="shared" si="10"/>
        <v>0.42703446265923811</v>
      </c>
      <c r="L43" s="6">
        <f t="shared" si="11"/>
        <v>0.36082003652424699</v>
      </c>
      <c r="M43" s="6">
        <f t="shared" si="12"/>
        <v>0.298053799118218</v>
      </c>
      <c r="N43" s="6">
        <f t="shared" si="13"/>
        <v>0.42358627393027598</v>
      </c>
      <c r="O43" s="6">
        <f t="shared" si="14"/>
        <v>0.29218226886585841</v>
      </c>
      <c r="P43" s="6">
        <f t="shared" si="15"/>
        <v>0.42945780418263557</v>
      </c>
    </row>
    <row r="44" spans="1:17" x14ac:dyDescent="0.25">
      <c r="A44" s="6">
        <f t="shared" si="2"/>
        <v>0.33114148126579601</v>
      </c>
      <c r="B44" s="6">
        <f t="shared" si="3"/>
        <v>0.41323755401670698</v>
      </c>
      <c r="C44" s="6">
        <f t="shared" si="0"/>
        <v>0.40195881227901209</v>
      </c>
      <c r="D44" s="6">
        <f t="shared" si="1"/>
        <v>0.42451629575440186</v>
      </c>
      <c r="E44" s="6">
        <f t="shared" si="4"/>
        <v>0.31581040037187347</v>
      </c>
      <c r="F44" s="6">
        <f t="shared" si="5"/>
        <v>0.51066470766154048</v>
      </c>
      <c r="G44" s="6">
        <f t="shared" si="6"/>
        <v>0.402963162424754</v>
      </c>
      <c r="H44" s="6">
        <f t="shared" si="7"/>
        <v>0.32886472682803908</v>
      </c>
      <c r="I44" s="6">
        <f t="shared" si="8"/>
        <v>0.47706159802146891</v>
      </c>
      <c r="J44" s="6">
        <f t="shared" si="9"/>
        <v>0.32724818860946331</v>
      </c>
      <c r="K44" s="6">
        <f t="shared" si="10"/>
        <v>0.47867813624004468</v>
      </c>
      <c r="L44" s="6">
        <f t="shared" si="11"/>
        <v>0.40378564371848402</v>
      </c>
      <c r="M44" s="6">
        <f t="shared" si="12"/>
        <v>0.32949999861554236</v>
      </c>
      <c r="N44" s="6">
        <f t="shared" si="13"/>
        <v>0.47807128882142569</v>
      </c>
      <c r="O44" s="6">
        <f t="shared" si="14"/>
        <v>0.32732239181169531</v>
      </c>
      <c r="P44" s="6">
        <f t="shared" si="15"/>
        <v>0.48024889562527273</v>
      </c>
    </row>
    <row r="45" spans="1:17" x14ac:dyDescent="0.25">
      <c r="A45" s="6">
        <f t="shared" si="2"/>
        <v>0.37253416642402998</v>
      </c>
      <c r="B45" s="6">
        <f t="shared" si="3"/>
        <v>0.46045385063524602</v>
      </c>
      <c r="C45" s="6">
        <f t="shared" si="0"/>
        <v>0.44374548177818474</v>
      </c>
      <c r="D45" s="6">
        <f t="shared" si="1"/>
        <v>0.4771622194923073</v>
      </c>
      <c r="E45" s="6">
        <f t="shared" si="4"/>
        <v>0.34524197707154802</v>
      </c>
      <c r="F45" s="6">
        <f t="shared" si="5"/>
        <v>0.57566572419894402</v>
      </c>
      <c r="G45" s="6">
        <f t="shared" si="6"/>
        <v>0.45443448335575298</v>
      </c>
      <c r="H45" s="6">
        <f t="shared" si="7"/>
        <v>0.36538973328804736</v>
      </c>
      <c r="I45" s="6">
        <f t="shared" si="8"/>
        <v>0.54347923342345861</v>
      </c>
      <c r="J45" s="6">
        <f t="shared" si="9"/>
        <v>0.35786356744209596</v>
      </c>
      <c r="K45" s="6">
        <f t="shared" si="10"/>
        <v>0.55100539926940995</v>
      </c>
      <c r="L45" s="6">
        <f t="shared" si="11"/>
        <v>0.45531953674047498</v>
      </c>
      <c r="M45" s="6">
        <f t="shared" si="12"/>
        <v>0.36616263128199156</v>
      </c>
      <c r="N45" s="6">
        <f t="shared" si="13"/>
        <v>0.54447644219895841</v>
      </c>
      <c r="O45" s="6">
        <f t="shared" si="14"/>
        <v>0.35895882885447161</v>
      </c>
      <c r="P45" s="6">
        <f t="shared" si="15"/>
        <v>0.55168024462647836</v>
      </c>
    </row>
    <row r="46" spans="1:17" x14ac:dyDescent="0.25">
      <c r="A46" s="6">
        <f t="shared" si="2"/>
        <v>0.41392685158224601</v>
      </c>
      <c r="B46" s="6">
        <f t="shared" si="3"/>
        <v>0.50037025096187904</v>
      </c>
      <c r="C46" s="6">
        <f t="shared" si="0"/>
        <v>0.47599358004007053</v>
      </c>
      <c r="D46" s="6">
        <f t="shared" si="1"/>
        <v>0.52474692188368754</v>
      </c>
      <c r="E46" s="6">
        <f t="shared" si="4"/>
        <v>0.36925971243728106</v>
      </c>
      <c r="F46" s="6">
        <f t="shared" si="5"/>
        <v>0.63148078948647701</v>
      </c>
      <c r="G46" s="6">
        <f t="shared" si="6"/>
        <v>0.49875747980676399</v>
      </c>
      <c r="H46" s="6">
        <f t="shared" si="7"/>
        <v>0.39631539620687001</v>
      </c>
      <c r="I46" s="6">
        <f t="shared" si="8"/>
        <v>0.60119956340665803</v>
      </c>
      <c r="J46" s="6">
        <f t="shared" si="9"/>
        <v>0.39076166810793</v>
      </c>
      <c r="K46" s="6">
        <f t="shared" si="10"/>
        <v>0.60675329150559798</v>
      </c>
      <c r="L46" s="6">
        <f t="shared" si="11"/>
        <v>0.49915439032303599</v>
      </c>
      <c r="M46" s="6">
        <f t="shared" si="12"/>
        <v>0.39701975755547397</v>
      </c>
      <c r="N46" s="6">
        <f t="shared" si="13"/>
        <v>0.60128902309059795</v>
      </c>
      <c r="O46" s="6">
        <f t="shared" si="14"/>
        <v>0.39191432872974796</v>
      </c>
      <c r="P46" s="6">
        <f t="shared" si="15"/>
        <v>0.60639445191632402</v>
      </c>
    </row>
    <row r="47" spans="1:17" x14ac:dyDescent="0.25">
      <c r="A47" s="6">
        <f t="shared" si="2"/>
        <v>0.45531953674048498</v>
      </c>
      <c r="B47" s="6">
        <f t="shared" si="3"/>
        <v>0.55006586976090499</v>
      </c>
      <c r="C47" s="6">
        <f t="shared" si="0"/>
        <v>0.51529055925056766</v>
      </c>
      <c r="D47" s="6">
        <f t="shared" si="1"/>
        <v>0.58484118027124232</v>
      </c>
      <c r="E47" s="6">
        <f t="shared" si="4"/>
        <v>0.401130094202577</v>
      </c>
      <c r="F47" s="6">
        <f t="shared" si="5"/>
        <v>0.69900164531923292</v>
      </c>
      <c r="G47" s="6">
        <f t="shared" si="6"/>
        <v>0.55527950707108797</v>
      </c>
      <c r="H47" s="6">
        <f t="shared" si="7"/>
        <v>0.43450448350151799</v>
      </c>
      <c r="I47" s="6">
        <f t="shared" si="8"/>
        <v>0.67605453064065801</v>
      </c>
      <c r="J47" s="6">
        <f t="shared" si="9"/>
        <v>0.42255274935147896</v>
      </c>
      <c r="K47" s="6">
        <f t="shared" si="10"/>
        <v>0.68800626479069704</v>
      </c>
      <c r="L47" s="6">
        <f t="shared" si="11"/>
        <v>0.55456479004804105</v>
      </c>
      <c r="M47" s="6">
        <f t="shared" si="12"/>
        <v>0.43442313717404502</v>
      </c>
      <c r="N47" s="6">
        <f t="shared" si="13"/>
        <v>0.67470644292203708</v>
      </c>
      <c r="O47" s="6">
        <f t="shared" si="14"/>
        <v>0.42026926815991505</v>
      </c>
      <c r="P47" s="6">
        <f t="shared" si="15"/>
        <v>0.68886031193616704</v>
      </c>
    </row>
    <row r="48" spans="1:17" x14ac:dyDescent="0.25">
      <c r="A48" s="6">
        <f t="shared" si="2"/>
        <v>0.49671222189869302</v>
      </c>
      <c r="B48" s="6">
        <f t="shared" si="3"/>
        <v>0.58245760582727302</v>
      </c>
      <c r="C48" s="6">
        <f t="shared" si="0"/>
        <v>0.53738730981998639</v>
      </c>
      <c r="D48" s="6">
        <f t="shared" si="1"/>
        <v>0.62752790183455964</v>
      </c>
      <c r="E48" s="6">
        <f t="shared" si="4"/>
        <v>0.42753855668261798</v>
      </c>
      <c r="F48" s="6">
        <f t="shared" si="5"/>
        <v>0.73737665497192806</v>
      </c>
      <c r="G48" s="6">
        <f t="shared" si="6"/>
        <v>0.60228967663775002</v>
      </c>
      <c r="H48" s="6">
        <f t="shared" si="7"/>
        <v>0.46551379251265401</v>
      </c>
      <c r="I48" s="6">
        <f t="shared" si="8"/>
        <v>0.73906556076284602</v>
      </c>
      <c r="J48" s="6">
        <f t="shared" si="9"/>
        <v>0.44938511755620902</v>
      </c>
      <c r="K48" s="6">
        <f t="shared" si="10"/>
        <v>0.75519423571929101</v>
      </c>
      <c r="L48" s="6">
        <f t="shared" si="11"/>
        <v>0.60232746864870801</v>
      </c>
      <c r="M48" s="6">
        <f t="shared" si="12"/>
        <v>0.46315877088260704</v>
      </c>
      <c r="N48" s="6">
        <f t="shared" si="13"/>
        <v>0.74149616641480898</v>
      </c>
      <c r="O48" s="6">
        <f t="shared" si="14"/>
        <v>0.44823340082197305</v>
      </c>
      <c r="P48" s="6">
        <f t="shared" si="15"/>
        <v>0.75642153647544297</v>
      </c>
    </row>
    <row r="49" spans="1:16" x14ac:dyDescent="0.25">
      <c r="A49" s="6">
        <f t="shared" si="2"/>
        <v>0.53810490705693204</v>
      </c>
      <c r="B49" s="6">
        <f t="shared" si="3"/>
        <v>0.60939596760479797</v>
      </c>
      <c r="C49" s="6">
        <f t="shared" si="0"/>
        <v>0.55789921953894162</v>
      </c>
      <c r="D49" s="6">
        <f t="shared" si="1"/>
        <v>0.66089271567065433</v>
      </c>
      <c r="E49" s="6">
        <f t="shared" si="4"/>
        <v>0.44619229134929894</v>
      </c>
      <c r="F49" s="6">
        <f t="shared" si="5"/>
        <v>0.772599643860297</v>
      </c>
      <c r="G49" s="6">
        <f t="shared" si="6"/>
        <v>0.65129809692679796</v>
      </c>
      <c r="H49" s="6">
        <f t="shared" si="7"/>
        <v>0.49764018523777998</v>
      </c>
      <c r="I49" s="6">
        <f t="shared" si="8"/>
        <v>0.80495600861581595</v>
      </c>
      <c r="J49" s="6">
        <f t="shared" si="9"/>
        <v>0.48856104870595896</v>
      </c>
      <c r="K49" s="6">
        <f t="shared" si="10"/>
        <v>0.81403514514763697</v>
      </c>
      <c r="L49" s="6">
        <f t="shared" si="11"/>
        <v>0.65127472661769603</v>
      </c>
      <c r="M49" s="6">
        <f t="shared" si="12"/>
        <v>0.48940818736923203</v>
      </c>
      <c r="N49" s="6">
        <f t="shared" si="13"/>
        <v>0.81314126586616009</v>
      </c>
      <c r="O49" s="6">
        <f t="shared" si="14"/>
        <v>0.48900470156499903</v>
      </c>
      <c r="P49" s="6">
        <f t="shared" si="15"/>
        <v>0.81354475167039308</v>
      </c>
    </row>
    <row r="50" spans="1:16" x14ac:dyDescent="0.25">
      <c r="A50" s="6">
        <f t="shared" si="2"/>
        <v>0.57949759221514796</v>
      </c>
      <c r="B50" s="6">
        <f t="shared" si="3"/>
        <v>0.63490082676760395</v>
      </c>
      <c r="C50" s="6">
        <f t="shared" si="0"/>
        <v>0.27519908045027297</v>
      </c>
      <c r="D50" s="6">
        <f t="shared" si="1"/>
        <v>0.99460257308493494</v>
      </c>
      <c r="E50" s="6">
        <f t="shared" si="4"/>
        <v>0.46319932421893095</v>
      </c>
      <c r="F50" s="6">
        <f t="shared" si="5"/>
        <v>0.80660232931627696</v>
      </c>
      <c r="G50" s="6">
        <f t="shared" si="6"/>
        <v>0.69202918845384498</v>
      </c>
      <c r="H50" s="6">
        <f t="shared" si="7"/>
        <v>0.523483302631505</v>
      </c>
      <c r="I50" s="6">
        <f t="shared" si="8"/>
        <v>0.86057507427618496</v>
      </c>
      <c r="J50" s="6">
        <f t="shared" si="9"/>
        <v>0.51387115495561797</v>
      </c>
      <c r="K50" s="6">
        <f t="shared" si="10"/>
        <v>0.87018722195207199</v>
      </c>
      <c r="L50" s="6">
        <f t="shared" si="11"/>
        <v>0.69173756824337895</v>
      </c>
      <c r="M50" s="6">
        <f t="shared" si="12"/>
        <v>0.51694643257616302</v>
      </c>
      <c r="N50" s="6">
        <f t="shared" si="13"/>
        <v>0.86652870391059489</v>
      </c>
      <c r="O50" s="6">
        <f t="shared" si="14"/>
        <v>0.51286565050598298</v>
      </c>
      <c r="P50" s="6">
        <f t="shared" si="15"/>
        <v>0.87060948598077492</v>
      </c>
    </row>
    <row r="51" spans="1:16" x14ac:dyDescent="0.25">
      <c r="A51" s="6">
        <f t="shared" si="2"/>
        <v>0.62089027737336999</v>
      </c>
      <c r="B51" s="6">
        <f t="shared" si="3"/>
        <v>0.67886775644335295</v>
      </c>
      <c r="C51" s="6">
        <f t="shared" si="0"/>
        <v>0.50429153733325893</v>
      </c>
      <c r="D51" s="6">
        <f t="shared" si="1"/>
        <v>0.85344397555344698</v>
      </c>
      <c r="E51" s="6">
        <f t="shared" si="4"/>
        <v>0.49633813636002999</v>
      </c>
      <c r="F51" s="6">
        <f t="shared" si="5"/>
        <v>0.86139737652667592</v>
      </c>
      <c r="G51" s="6">
        <f t="shared" si="6"/>
        <v>0.76106447362325702</v>
      </c>
      <c r="H51" s="6">
        <f t="shared" si="7"/>
        <v>0.56584083623340109</v>
      </c>
      <c r="I51" s="6">
        <f t="shared" si="8"/>
        <v>0.95628811101311295</v>
      </c>
      <c r="J51" s="6">
        <f t="shared" si="9"/>
        <v>0.54691690384666602</v>
      </c>
      <c r="K51" s="6">
        <f t="shared" si="10"/>
        <v>0.97521204339984802</v>
      </c>
      <c r="L51" s="6">
        <f t="shared" si="11"/>
        <v>0.75496312603605997</v>
      </c>
      <c r="M51" s="6">
        <f t="shared" si="12"/>
        <v>0.54576735658838194</v>
      </c>
      <c r="N51" s="6">
        <f t="shared" si="13"/>
        <v>0.96415889548373801</v>
      </c>
      <c r="O51" s="6">
        <f t="shared" si="14"/>
        <v>0.55230020070527597</v>
      </c>
      <c r="P51" s="6">
        <f t="shared" si="15"/>
        <v>0.95762605136684398</v>
      </c>
    </row>
    <row r="52" spans="1:16" x14ac:dyDescent="0.25">
      <c r="A52" s="6">
        <f t="shared" si="2"/>
        <v>0.66228296253159202</v>
      </c>
      <c r="B52" s="6">
        <f t="shared" si="3"/>
        <v>0.70919405028091398</v>
      </c>
      <c r="C52" s="6">
        <f t="shared" si="0"/>
        <v>0.28252718812578997</v>
      </c>
      <c r="D52" s="6">
        <f t="shared" si="1"/>
        <v>1.1358609124360379</v>
      </c>
      <c r="E52" s="6">
        <f t="shared" si="4"/>
        <v>0.51482365019667498</v>
      </c>
      <c r="F52" s="6">
        <f t="shared" si="5"/>
        <v>0.90356445036515298</v>
      </c>
      <c r="G52" s="6">
        <f t="shared" si="6"/>
        <v>0.81690070703309003</v>
      </c>
      <c r="H52" s="6">
        <f t="shared" si="7"/>
        <v>0.59976970529496199</v>
      </c>
      <c r="I52" s="6">
        <f t="shared" si="8"/>
        <v>1.0340317087712181</v>
      </c>
      <c r="J52" s="6">
        <f t="shared" si="9"/>
        <v>0.58731974132796205</v>
      </c>
      <c r="K52" s="6">
        <f t="shared" si="10"/>
        <v>1.046481672738218</v>
      </c>
      <c r="L52" s="6">
        <f t="shared" si="11"/>
        <v>0.81547712525006999</v>
      </c>
      <c r="M52" s="6">
        <f t="shared" si="12"/>
        <v>0.59231298608390892</v>
      </c>
      <c r="N52" s="6">
        <f t="shared" si="13"/>
        <v>1.0386412644162311</v>
      </c>
      <c r="O52" s="6">
        <f t="shared" si="14"/>
        <v>0.58874069784827299</v>
      </c>
      <c r="P52" s="6">
        <f t="shared" si="15"/>
        <v>1.042213552651867</v>
      </c>
    </row>
    <row r="53" spans="1:16" x14ac:dyDescent="0.25">
      <c r="A53" s="6">
        <f t="shared" si="2"/>
        <v>0.70367564768981405</v>
      </c>
      <c r="B53" s="6">
        <f t="shared" si="3"/>
        <v>0.73147188736475899</v>
      </c>
      <c r="C53" s="6">
        <f t="shared" si="0"/>
        <v>0.26619758907909696</v>
      </c>
      <c r="D53" s="6">
        <f t="shared" si="1"/>
        <v>1.1967461856504209</v>
      </c>
      <c r="E53" s="6">
        <f t="shared" si="4"/>
        <v>0.53702400073350598</v>
      </c>
      <c r="F53" s="6">
        <f t="shared" si="5"/>
        <v>0.925919773996012</v>
      </c>
      <c r="G53" s="6">
        <f t="shared" si="6"/>
        <v>0.85213935303149502</v>
      </c>
      <c r="H53" s="6">
        <f t="shared" si="7"/>
        <v>0.61907769218403508</v>
      </c>
      <c r="I53" s="6">
        <f t="shared" si="8"/>
        <v>1.085201013878955</v>
      </c>
      <c r="J53" s="6">
        <f t="shared" si="9"/>
        <v>0.57735172030462001</v>
      </c>
      <c r="K53" s="6">
        <f t="shared" si="10"/>
        <v>1.1269269857583701</v>
      </c>
      <c r="L53" s="6">
        <f t="shared" si="11"/>
        <v>0.83504008504955796</v>
      </c>
      <c r="M53" s="6">
        <f t="shared" si="12"/>
        <v>0.59824024186428393</v>
      </c>
      <c r="N53" s="6">
        <f t="shared" si="13"/>
        <v>1.0718399282348319</v>
      </c>
      <c r="O53" s="6">
        <f t="shared" si="14"/>
        <v>0.5945362308402129</v>
      </c>
      <c r="P53" s="6">
        <f t="shared" si="15"/>
        <v>1.075543939258903</v>
      </c>
    </row>
    <row r="54" spans="1:16" x14ac:dyDescent="0.25">
      <c r="A54" s="6">
        <f t="shared" si="2"/>
        <v>0.74506833284806095</v>
      </c>
      <c r="B54" s="6">
        <f t="shared" si="3"/>
        <v>0.76695449865095799</v>
      </c>
      <c r="C54" s="6">
        <f t="shared" si="0"/>
        <v>0.28507315511675202</v>
      </c>
      <c r="D54" s="6">
        <f t="shared" si="1"/>
        <v>1.248835842185164</v>
      </c>
      <c r="E54" s="6">
        <f t="shared" si="4"/>
        <v>0.58372013052428395</v>
      </c>
      <c r="F54" s="6">
        <f t="shared" si="5"/>
        <v>0.95018886677763204</v>
      </c>
      <c r="G54" s="6">
        <f t="shared" si="6"/>
        <v>0.93054972233481903</v>
      </c>
      <c r="H54" s="6">
        <f t="shared" si="7"/>
        <v>0.66471210601888697</v>
      </c>
      <c r="I54" s="6">
        <f t="shared" si="8"/>
        <v>1.1963873386507511</v>
      </c>
      <c r="J54" s="6">
        <f t="shared" si="9"/>
        <v>0.63385041480457505</v>
      </c>
      <c r="K54" s="6">
        <f t="shared" si="10"/>
        <v>1.2272490298650629</v>
      </c>
      <c r="L54" s="6">
        <f t="shared" si="11"/>
        <v>0.89430781104292401</v>
      </c>
      <c r="M54" s="6">
        <f t="shared" si="12"/>
        <v>0.61606027816434095</v>
      </c>
      <c r="N54" s="6">
        <f t="shared" si="13"/>
        <v>1.1725553439215071</v>
      </c>
      <c r="O54" s="6">
        <f t="shared" si="14"/>
        <v>0.63532296363528706</v>
      </c>
      <c r="P54" s="6">
        <f t="shared" si="15"/>
        <v>1.1532926584505609</v>
      </c>
    </row>
    <row r="55" spans="1:16" x14ac:dyDescent="0.25">
      <c r="A55" s="6">
        <f t="shared" si="2"/>
        <v>0.78646101800628598</v>
      </c>
      <c r="B55" s="6">
        <f t="shared" si="3"/>
        <v>0.75323200577656502</v>
      </c>
      <c r="C55" s="6">
        <f t="shared" si="0"/>
        <v>0.52529706471576298</v>
      </c>
      <c r="D55" s="6">
        <f t="shared" si="1"/>
        <v>0.98116694683736705</v>
      </c>
      <c r="E55" s="6">
        <f t="shared" si="4"/>
        <v>0.56080377819907401</v>
      </c>
      <c r="F55" s="6">
        <f t="shared" si="5"/>
        <v>0.94566023335405602</v>
      </c>
      <c r="G55" s="6">
        <f t="shared" si="6"/>
        <v>0.96457327203716403</v>
      </c>
      <c r="H55" s="6">
        <f t="shared" si="7"/>
        <v>0.68474233725008105</v>
      </c>
      <c r="I55" s="6">
        <f t="shared" si="8"/>
        <v>1.2444042068242469</v>
      </c>
      <c r="J55" s="6">
        <f t="shared" si="9"/>
        <v>0.67172049030993497</v>
      </c>
      <c r="K55" s="6">
        <f t="shared" si="10"/>
        <v>1.2574260537643931</v>
      </c>
      <c r="L55" s="6">
        <f t="shared" si="11"/>
        <v>0.93159278250163902</v>
      </c>
      <c r="M55" s="6">
        <f t="shared" si="12"/>
        <v>0.61844496733853593</v>
      </c>
      <c r="N55" s="6">
        <f t="shared" si="13"/>
        <v>1.2447405976647421</v>
      </c>
      <c r="O55" s="6">
        <f t="shared" si="14"/>
        <v>0.66670783322763194</v>
      </c>
      <c r="P55" s="6">
        <f t="shared" si="15"/>
        <v>1.1964777317756461</v>
      </c>
    </row>
    <row r="56" spans="1:16" x14ac:dyDescent="0.25">
      <c r="A56" s="6">
        <f t="shared" si="2"/>
        <v>0.82785370316449203</v>
      </c>
      <c r="B56" s="6">
        <f t="shared" si="3"/>
        <v>0.78625805996419795</v>
      </c>
      <c r="C56" s="6">
        <f t="shared" si="0"/>
        <v>0.20776718619495393</v>
      </c>
      <c r="D56" s="6">
        <f t="shared" si="1"/>
        <v>1.364748933733442</v>
      </c>
      <c r="E56" s="6">
        <f t="shared" si="4"/>
        <v>0.57464617321656697</v>
      </c>
      <c r="F56" s="6">
        <f t="shared" si="5"/>
        <v>0.99786994671182894</v>
      </c>
      <c r="G56" s="6">
        <f t="shared" si="6"/>
        <v>1.0382102720810999</v>
      </c>
      <c r="H56" s="6">
        <f t="shared" si="7"/>
        <v>0.72308921717500796</v>
      </c>
      <c r="I56" s="6">
        <f t="shared" si="8"/>
        <v>1.3533313269871918</v>
      </c>
      <c r="J56" s="6">
        <f t="shared" si="9"/>
        <v>0.67755681685537894</v>
      </c>
      <c r="K56" s="6">
        <f t="shared" si="10"/>
        <v>1.398863727306821</v>
      </c>
      <c r="L56" s="6">
        <f t="shared" si="11"/>
        <v>0.95737718464384503</v>
      </c>
      <c r="M56" s="6">
        <f t="shared" si="12"/>
        <v>0.65555581323706802</v>
      </c>
      <c r="N56" s="6">
        <f t="shared" si="13"/>
        <v>1.259198556050622</v>
      </c>
      <c r="O56" s="6">
        <f t="shared" si="14"/>
        <v>0.66825027447155705</v>
      </c>
      <c r="P56" s="6">
        <f t="shared" si="15"/>
        <v>1.246504094816133</v>
      </c>
    </row>
    <row r="57" spans="1:16" x14ac:dyDescent="0.25">
      <c r="A57" s="6">
        <f t="shared" si="2"/>
        <v>0.86924638832272205</v>
      </c>
      <c r="B57" s="6">
        <f t="shared" si="3"/>
        <v>0.83026649838098499</v>
      </c>
      <c r="C57" s="6">
        <f t="shared" si="0"/>
        <v>0.28714803732206495</v>
      </c>
      <c r="D57" s="6">
        <f t="shared" si="1"/>
        <v>1.373384959439905</v>
      </c>
      <c r="E57" s="6">
        <f t="shared" si="4"/>
        <v>0.61130736612348702</v>
      </c>
      <c r="F57" s="6">
        <f t="shared" si="5"/>
        <v>1.0492256306384831</v>
      </c>
      <c r="G57" s="6">
        <f t="shared" si="6"/>
        <v>1.0943575153570999</v>
      </c>
      <c r="H57" s="6">
        <f t="shared" si="7"/>
        <v>0.75453173918788097</v>
      </c>
      <c r="I57" s="6">
        <f t="shared" si="8"/>
        <v>1.4341832915263188</v>
      </c>
      <c r="J57" s="6">
        <f t="shared" si="9"/>
        <v>0.73524823614960788</v>
      </c>
      <c r="K57" s="6">
        <f t="shared" si="10"/>
        <v>1.453466794564592</v>
      </c>
      <c r="L57" s="6">
        <f t="shared" si="11"/>
        <v>1.00675094507316</v>
      </c>
      <c r="M57" s="6">
        <f t="shared" si="12"/>
        <v>0.67360903888723</v>
      </c>
      <c r="N57" s="6">
        <f t="shared" si="13"/>
        <v>1.33989285125909</v>
      </c>
      <c r="O57" s="6">
        <f t="shared" si="14"/>
        <v>0.70371018186481593</v>
      </c>
      <c r="P57" s="6">
        <f t="shared" si="15"/>
        <v>1.309791708281504</v>
      </c>
    </row>
    <row r="58" spans="1:16" x14ac:dyDescent="0.25">
      <c r="A58" s="6">
        <f t="shared" si="2"/>
        <v>0.91063907348097095</v>
      </c>
      <c r="B58" s="6">
        <f t="shared" si="3"/>
        <v>0.880818909498709</v>
      </c>
      <c r="C58" s="6">
        <f t="shared" si="0"/>
        <v>0.54041091293238708</v>
      </c>
      <c r="D58" s="6">
        <f t="shared" si="1"/>
        <v>1.2212269060650309</v>
      </c>
      <c r="E58" s="6">
        <f t="shared" si="4"/>
        <v>0.69636630980574599</v>
      </c>
      <c r="F58" s="6">
        <f t="shared" si="5"/>
        <v>1.065271509191672</v>
      </c>
      <c r="G58" s="6">
        <f t="shared" si="6"/>
        <v>1.14441783535011</v>
      </c>
      <c r="H58" s="6">
        <f t="shared" si="7"/>
        <v>0.77809756914475292</v>
      </c>
      <c r="I58" s="6">
        <f t="shared" si="8"/>
        <v>1.5107381015554671</v>
      </c>
      <c r="J58" s="6">
        <f t="shared" si="9"/>
        <v>0.72007638148614306</v>
      </c>
      <c r="K58" s="6">
        <f t="shared" si="10"/>
        <v>1.5687592892140769</v>
      </c>
      <c r="L58" s="6">
        <f t="shared" si="11"/>
        <v>1.0132189739324</v>
      </c>
      <c r="M58" s="6">
        <f t="shared" si="12"/>
        <v>0.68714906899592898</v>
      </c>
      <c r="N58" s="6">
        <f t="shared" si="13"/>
        <v>1.339288878868871</v>
      </c>
      <c r="O58" s="6">
        <f t="shared" si="14"/>
        <v>0.69074640070608995</v>
      </c>
      <c r="P58" s="6">
        <f t="shared" si="15"/>
        <v>1.3356915471587101</v>
      </c>
    </row>
    <row r="59" spans="1:16" x14ac:dyDescent="0.25">
      <c r="A59" s="6">
        <f t="shared" si="2"/>
        <v>0.95203175863915301</v>
      </c>
      <c r="B59" s="6">
        <f t="shared" si="3"/>
        <v>0.89493270161034799</v>
      </c>
      <c r="C59" s="6">
        <f t="shared" si="0"/>
        <v>0.30068160115201303</v>
      </c>
      <c r="D59" s="6">
        <f t="shared" si="1"/>
        <v>1.4891838020686829</v>
      </c>
      <c r="E59" s="6">
        <f t="shared" si="4"/>
        <v>0.73630333805603099</v>
      </c>
      <c r="F59" s="6">
        <f t="shared" si="5"/>
        <v>1.0535620651646651</v>
      </c>
      <c r="G59" s="6">
        <f t="shared" si="6"/>
        <v>1.24071114366831</v>
      </c>
      <c r="H59" s="6">
        <f t="shared" si="7"/>
        <v>0.82382919782437702</v>
      </c>
      <c r="I59" s="6">
        <f t="shared" si="8"/>
        <v>1.657593089512243</v>
      </c>
      <c r="J59" s="6">
        <f t="shared" si="9"/>
        <v>0.73459219879066306</v>
      </c>
      <c r="K59" s="6">
        <f t="shared" si="10"/>
        <v>1.7468300885459569</v>
      </c>
      <c r="L59" s="6">
        <f t="shared" si="11"/>
        <v>1.0477932118531801</v>
      </c>
      <c r="M59" s="6">
        <f t="shared" si="12"/>
        <v>0.72267469985985511</v>
      </c>
      <c r="N59" s="6">
        <f t="shared" si="13"/>
        <v>1.3729117238465052</v>
      </c>
      <c r="O59" s="6">
        <f t="shared" si="14"/>
        <v>0.68891499230011211</v>
      </c>
      <c r="P59" s="6">
        <f t="shared" si="15"/>
        <v>1.4066714314062481</v>
      </c>
    </row>
    <row r="60" spans="1:16" x14ac:dyDescent="0.25">
      <c r="A60" s="6">
        <f t="shared" si="2"/>
        <v>0.99342444379738704</v>
      </c>
      <c r="B60" s="6">
        <f t="shared" si="3"/>
        <v>0.87590954564341705</v>
      </c>
      <c r="C60" s="6">
        <f t="shared" si="0"/>
        <v>0.57150956881468407</v>
      </c>
      <c r="D60" s="6">
        <f t="shared" si="1"/>
        <v>1.18030952247215</v>
      </c>
      <c r="E60" s="6">
        <f t="shared" si="4"/>
        <v>0.73204655811714103</v>
      </c>
      <c r="F60" s="6">
        <f t="shared" si="5"/>
        <v>1.019772533169693</v>
      </c>
      <c r="G60" s="6">
        <f t="shared" si="6"/>
        <v>1.30176563408068</v>
      </c>
      <c r="H60" s="6">
        <f t="shared" si="7"/>
        <v>0.84839920905596</v>
      </c>
      <c r="I60" s="6">
        <f t="shared" si="8"/>
        <v>1.7551320591054</v>
      </c>
      <c r="J60" s="6">
        <f t="shared" si="9"/>
        <v>0.68465923825125607</v>
      </c>
      <c r="K60" s="6">
        <f t="shared" si="10"/>
        <v>1.9188720299101041</v>
      </c>
      <c r="L60" s="6">
        <f t="shared" si="11"/>
        <v>1.0532738783409501</v>
      </c>
      <c r="M60" s="6">
        <f t="shared" si="12"/>
        <v>0.73143898364817317</v>
      </c>
      <c r="N60" s="6">
        <f t="shared" si="13"/>
        <v>1.375108773033727</v>
      </c>
      <c r="O60" s="6">
        <f t="shared" si="14"/>
        <v>0.6706014267302971</v>
      </c>
      <c r="P60" s="6">
        <f t="shared" si="15"/>
        <v>1.4359463299516031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tabSelected="1" zoomScaleNormal="100" workbookViewId="0">
      <selection activeCell="A10" sqref="A10:N34"/>
    </sheetView>
  </sheetViews>
  <sheetFormatPr defaultColWidth="10.7109375" defaultRowHeight="15" x14ac:dyDescent="0.25"/>
  <cols>
    <col min="1" max="1" width="10.7109375" style="5"/>
    <col min="2" max="2" width="10.7109375" style="5" customWidth="1"/>
    <col min="3" max="16384" width="10.7109375" style="5"/>
  </cols>
  <sheetData>
    <row r="1" spans="1:17" x14ac:dyDescent="0.25">
      <c r="A1" s="5" t="s">
        <v>0</v>
      </c>
      <c r="B1" s="12">
        <v>512</v>
      </c>
      <c r="C1" s="12"/>
    </row>
    <row r="2" spans="1:17" x14ac:dyDescent="0.25">
      <c r="A2" s="5" t="s">
        <v>1</v>
      </c>
      <c r="B2" s="12">
        <v>100</v>
      </c>
      <c r="C2" s="12"/>
    </row>
    <row r="3" spans="1:17" x14ac:dyDescent="0.25">
      <c r="A3" s="5" t="s">
        <v>2</v>
      </c>
      <c r="B3" s="12">
        <v>1</v>
      </c>
      <c r="C3" s="12"/>
    </row>
    <row r="4" spans="1:17" x14ac:dyDescent="0.25">
      <c r="A4" s="5" t="s">
        <v>3</v>
      </c>
      <c r="B4" s="12">
        <v>10</v>
      </c>
      <c r="C4" s="12"/>
    </row>
    <row r="5" spans="1:17" x14ac:dyDescent="0.25">
      <c r="A5" s="5" t="s">
        <v>4</v>
      </c>
      <c r="B5" s="13">
        <v>1.1000000000000001</v>
      </c>
      <c r="C5" s="13"/>
    </row>
    <row r="6" spans="1:17" x14ac:dyDescent="0.25">
      <c r="A6" s="5" t="s">
        <v>5</v>
      </c>
      <c r="B6" s="13">
        <v>5.5100000000000003E-2</v>
      </c>
      <c r="C6" s="13"/>
    </row>
    <row r="7" spans="1:17" x14ac:dyDescent="0.25">
      <c r="A7" s="5" t="s">
        <v>6</v>
      </c>
      <c r="B7" s="11">
        <v>161803398874989</v>
      </c>
      <c r="C7" s="11"/>
    </row>
    <row r="10" spans="1:17" x14ac:dyDescent="0.25">
      <c r="A10" t="s">
        <v>7</v>
      </c>
      <c r="B10" t="s">
        <v>40</v>
      </c>
      <c r="C10" t="s">
        <v>9</v>
      </c>
      <c r="D10" t="s">
        <v>41</v>
      </c>
      <c r="E10" t="s">
        <v>11</v>
      </c>
      <c r="F10" t="s">
        <v>12</v>
      </c>
      <c r="G10" t="s">
        <v>13</v>
      </c>
      <c r="H10" t="s">
        <v>42</v>
      </c>
      <c r="I10" t="s">
        <v>15</v>
      </c>
      <c r="J10" t="s">
        <v>16</v>
      </c>
      <c r="K10" t="s">
        <v>17</v>
      </c>
      <c r="L10" t="s">
        <v>43</v>
      </c>
      <c r="M10" t="s">
        <v>19</v>
      </c>
      <c r="N10" t="s">
        <v>20</v>
      </c>
      <c r="O10" s="4" t="s">
        <v>38</v>
      </c>
      <c r="P10" s="4" t="s">
        <v>39</v>
      </c>
      <c r="Q10" s="3" t="s">
        <v>36</v>
      </c>
    </row>
    <row r="11" spans="1:17" x14ac:dyDescent="0.25">
      <c r="A11">
        <v>1.1000000000000001</v>
      </c>
      <c r="B11">
        <v>4.1392685158224501E-2</v>
      </c>
      <c r="C11">
        <v>1.0000019644779701</v>
      </c>
      <c r="D11" s="14">
        <v>8.5316110402268596E-7</v>
      </c>
      <c r="E11" t="s">
        <v>37</v>
      </c>
      <c r="F11" s="14">
        <v>6.0381295691152602E-21</v>
      </c>
      <c r="G11">
        <v>1.2073539113510201</v>
      </c>
      <c r="H11">
        <v>8.1794672397526497E-2</v>
      </c>
      <c r="I11">
        <v>4.7371871650405701E-3</v>
      </c>
      <c r="J11">
        <v>5.8859395543379902E-3</v>
      </c>
      <c r="K11">
        <v>1.9487171000000201</v>
      </c>
      <c r="L11">
        <v>0.28974879610757398</v>
      </c>
      <c r="M11">
        <v>3.15170999705396E-2</v>
      </c>
      <c r="N11" s="14">
        <v>1.4440121186638501E-15</v>
      </c>
      <c r="O11" s="7">
        <v>1000</v>
      </c>
      <c r="P11" s="7">
        <v>0</v>
      </c>
      <c r="Q11" s="6">
        <v>0</v>
      </c>
    </row>
    <row r="12" spans="1:17" x14ac:dyDescent="0.25">
      <c r="A12">
        <v>1.21000000000001</v>
      </c>
      <c r="B12">
        <v>8.2785370316449003E-2</v>
      </c>
      <c r="C12">
        <v>1.0000019644779701</v>
      </c>
      <c r="D12" s="14">
        <v>8.5316110402268596E-7</v>
      </c>
      <c r="E12" t="s">
        <v>37</v>
      </c>
      <c r="F12" s="14">
        <v>6.0381295691152602E-21</v>
      </c>
      <c r="G12">
        <v>1.3653430968190801</v>
      </c>
      <c r="H12">
        <v>0.135103190409879</v>
      </c>
      <c r="I12">
        <v>1.0061352048864E-2</v>
      </c>
      <c r="J12">
        <v>1.09559926065635E-2</v>
      </c>
      <c r="K12">
        <v>1.9487171000000201</v>
      </c>
      <c r="L12">
        <v>0.28974879610757398</v>
      </c>
      <c r="M12">
        <v>3.15170999705396E-2</v>
      </c>
      <c r="N12" s="14">
        <v>1.4440121186638501E-15</v>
      </c>
      <c r="O12" s="7">
        <v>1000</v>
      </c>
      <c r="P12" s="7">
        <v>0</v>
      </c>
      <c r="Q12" s="6">
        <v>0</v>
      </c>
    </row>
    <row r="13" spans="1:17" x14ac:dyDescent="0.25">
      <c r="A13">
        <v>1.33099999999998</v>
      </c>
      <c r="B13">
        <v>0.124178055474673</v>
      </c>
      <c r="C13">
        <v>1.0000019644779701</v>
      </c>
      <c r="D13" s="14">
        <v>8.5316110402268596E-7</v>
      </c>
      <c r="E13" t="s">
        <v>37</v>
      </c>
      <c r="F13" s="14">
        <v>6.0381295691152602E-21</v>
      </c>
      <c r="G13">
        <v>1.5362989790516099</v>
      </c>
      <c r="H13">
        <v>0.18614027473920899</v>
      </c>
      <c r="I13">
        <v>1.6282151329614501E-2</v>
      </c>
      <c r="J13">
        <v>1.7041214365126199E-2</v>
      </c>
      <c r="K13">
        <v>1.9487171000000201</v>
      </c>
      <c r="L13">
        <v>0.28974879610757398</v>
      </c>
      <c r="M13">
        <v>3.15170999705396E-2</v>
      </c>
      <c r="N13" s="14">
        <v>1.4440121186638501E-15</v>
      </c>
      <c r="O13" s="7">
        <v>1000</v>
      </c>
      <c r="P13" s="7">
        <v>0</v>
      </c>
      <c r="Q13" s="6">
        <v>0</v>
      </c>
    </row>
    <row r="14" spans="1:17" x14ac:dyDescent="0.25">
      <c r="A14">
        <v>1.46409999999998</v>
      </c>
      <c r="B14">
        <v>0.16557074063289801</v>
      </c>
      <c r="C14">
        <v>1.0000019644779701</v>
      </c>
      <c r="D14" s="14">
        <v>8.5316110402268596E-7</v>
      </c>
      <c r="E14" t="s">
        <v>37</v>
      </c>
      <c r="F14" s="14">
        <v>6.0381295691152602E-21</v>
      </c>
      <c r="G14">
        <v>1.72947621121746</v>
      </c>
      <c r="H14">
        <v>0.23711339950676799</v>
      </c>
      <c r="I14">
        <v>2.34421555116202E-2</v>
      </c>
      <c r="J14">
        <v>2.6229459261548401E-2</v>
      </c>
      <c r="K14">
        <v>1.9516401756500199</v>
      </c>
      <c r="L14">
        <v>0.29036968638494698</v>
      </c>
      <c r="M14">
        <v>3.1621991342675702E-2</v>
      </c>
      <c r="N14">
        <v>5.0339001960473997E-3</v>
      </c>
      <c r="O14" s="7">
        <v>1000</v>
      </c>
      <c r="P14" s="7">
        <v>0</v>
      </c>
      <c r="Q14" s="6">
        <v>0</v>
      </c>
    </row>
    <row r="15" spans="1:17" x14ac:dyDescent="0.25">
      <c r="A15">
        <v>1.6105099999999799</v>
      </c>
      <c r="B15">
        <v>0.20696342579112301</v>
      </c>
      <c r="C15">
        <v>1.0000019644779701</v>
      </c>
      <c r="D15" s="14">
        <v>8.5316110402268596E-7</v>
      </c>
      <c r="E15" t="s">
        <v>37</v>
      </c>
      <c r="F15" s="14">
        <v>6.0381295691152602E-21</v>
      </c>
      <c r="G15">
        <v>1.9332926450160499</v>
      </c>
      <c r="H15">
        <v>0.284985828534356</v>
      </c>
      <c r="I15">
        <v>3.0906676341563501E-2</v>
      </c>
      <c r="J15">
        <v>3.3506439946804599E-2</v>
      </c>
      <c r="K15">
        <v>2.0023354904890498</v>
      </c>
      <c r="L15">
        <v>0.300965642487598</v>
      </c>
      <c r="M15">
        <v>3.3429751013193801E-2</v>
      </c>
      <c r="N15">
        <v>2.19003483908429E-2</v>
      </c>
      <c r="O15" s="7">
        <v>1000</v>
      </c>
      <c r="P15" s="7">
        <v>0</v>
      </c>
      <c r="Q15" s="6">
        <v>0</v>
      </c>
    </row>
    <row r="16" spans="1:17" x14ac:dyDescent="0.25">
      <c r="A16">
        <v>1.7715610000000099</v>
      </c>
      <c r="B16">
        <v>0.24835611094934601</v>
      </c>
      <c r="C16">
        <v>1.0000019644779701</v>
      </c>
      <c r="D16" s="14">
        <v>8.5316110402268596E-7</v>
      </c>
      <c r="E16" t="s">
        <v>37</v>
      </c>
      <c r="F16" s="14">
        <v>6.0381295691152602E-21</v>
      </c>
      <c r="G16">
        <v>2.1741113381743999</v>
      </c>
      <c r="H16">
        <v>0.33537241771722998</v>
      </c>
      <c r="I16">
        <v>3.9465144744134102E-2</v>
      </c>
      <c r="J16">
        <v>4.0357208236565599E-2</v>
      </c>
      <c r="K16">
        <v>2.1803737329291302</v>
      </c>
      <c r="L16">
        <v>0.336768029958045</v>
      </c>
      <c r="M16">
        <v>3.9680809472359801E-2</v>
      </c>
      <c r="N16">
        <v>3.8629979171548499E-2</v>
      </c>
      <c r="O16" s="7">
        <v>1000</v>
      </c>
      <c r="P16" s="7">
        <v>0</v>
      </c>
      <c r="Q16" s="6">
        <v>0</v>
      </c>
    </row>
    <row r="17" spans="1:17" x14ac:dyDescent="0.25">
      <c r="A17">
        <v>1.9487171000000201</v>
      </c>
      <c r="B17">
        <v>0.28974879610757398</v>
      </c>
      <c r="C17">
        <v>1.0000019644779701</v>
      </c>
      <c r="D17" s="14">
        <v>8.5316110402268596E-7</v>
      </c>
      <c r="E17" t="s">
        <v>37</v>
      </c>
      <c r="F17" s="14">
        <v>6.0381295691152602E-21</v>
      </c>
      <c r="G17">
        <v>2.42930162464868</v>
      </c>
      <c r="H17">
        <v>0.38250364091364097</v>
      </c>
      <c r="I17">
        <v>4.8118175773797303E-2</v>
      </c>
      <c r="J17">
        <v>5.0194070473519301E-2</v>
      </c>
      <c r="K17">
        <v>2.4277997261308899</v>
      </c>
      <c r="L17">
        <v>0.381963882301879</v>
      </c>
      <c r="M17">
        <v>4.80352780729092E-2</v>
      </c>
      <c r="N17">
        <v>5.2411023997459699E-2</v>
      </c>
      <c r="O17" s="7">
        <v>1000</v>
      </c>
      <c r="P17" s="7">
        <v>0</v>
      </c>
      <c r="Q17" s="6">
        <v>0</v>
      </c>
    </row>
    <row r="18" spans="1:17" x14ac:dyDescent="0.25">
      <c r="A18">
        <v>2.1435888099999798</v>
      </c>
      <c r="B18">
        <v>0.33114148126579601</v>
      </c>
      <c r="C18">
        <v>1.0000019644779701</v>
      </c>
      <c r="D18" s="14">
        <v>8.5316110402268596E-7</v>
      </c>
      <c r="E18" t="s">
        <v>37</v>
      </c>
      <c r="F18" s="14">
        <v>6.0381295691152602E-21</v>
      </c>
      <c r="G18">
        <v>2.7713860312002998</v>
      </c>
      <c r="H18">
        <v>0.43800042818235801</v>
      </c>
      <c r="I18">
        <v>5.9028929868536799E-2</v>
      </c>
      <c r="J18">
        <v>6.2592664456800701E-2</v>
      </c>
      <c r="K18">
        <v>2.77641909072653</v>
      </c>
      <c r="L18">
        <v>0.43871992739631799</v>
      </c>
      <c r="M18">
        <v>5.91215367861333E-2</v>
      </c>
      <c r="N18">
        <v>6.3195430331750402E-2</v>
      </c>
      <c r="O18" s="7">
        <v>1000</v>
      </c>
      <c r="P18" s="7">
        <v>0</v>
      </c>
      <c r="Q18" s="6">
        <v>0</v>
      </c>
    </row>
    <row r="19" spans="1:17" x14ac:dyDescent="0.25">
      <c r="A19">
        <v>2.3579476909999699</v>
      </c>
      <c r="B19">
        <v>0.37253416642402998</v>
      </c>
      <c r="C19">
        <v>1.0000019644779701</v>
      </c>
      <c r="D19" s="14">
        <v>8.5316110402268596E-7</v>
      </c>
      <c r="E19" t="s">
        <v>37</v>
      </c>
      <c r="F19" s="14">
        <v>6.0381295691152602E-21</v>
      </c>
      <c r="G19">
        <v>3.0973584632948001</v>
      </c>
      <c r="H19">
        <v>0.48426815523317501</v>
      </c>
      <c r="I19">
        <v>6.8699421964115895E-2</v>
      </c>
      <c r="J19">
        <v>7.4198201133504699E-2</v>
      </c>
      <c r="K19">
        <v>3.1093004669847102</v>
      </c>
      <c r="L19">
        <v>0.48584635639573998</v>
      </c>
      <c r="M19">
        <v>6.8992546623543094E-2</v>
      </c>
      <c r="N19">
        <v>7.4563699142214002E-2</v>
      </c>
      <c r="O19" s="7">
        <v>1000</v>
      </c>
      <c r="P19" s="7">
        <v>0</v>
      </c>
      <c r="Q19" s="6">
        <v>0</v>
      </c>
    </row>
    <row r="20" spans="1:17" x14ac:dyDescent="0.25">
      <c r="A20">
        <v>2.5937424601000201</v>
      </c>
      <c r="B20">
        <v>0.41392685158224601</v>
      </c>
      <c r="C20">
        <v>1.0000019644779701</v>
      </c>
      <c r="D20" s="14">
        <v>8.5316110402268596E-7</v>
      </c>
      <c r="E20" t="s">
        <v>37</v>
      </c>
      <c r="F20" s="14">
        <v>6.0381295691152602E-21</v>
      </c>
      <c r="G20">
        <v>3.4727857414802399</v>
      </c>
      <c r="H20">
        <v>0.53216511522704002</v>
      </c>
      <c r="I20">
        <v>7.9171094725102101E-2</v>
      </c>
      <c r="J20">
        <v>8.3383309939789596E-2</v>
      </c>
      <c r="K20">
        <v>3.4700690588086101</v>
      </c>
      <c r="L20">
        <v>0.53187006244273705</v>
      </c>
      <c r="M20">
        <v>7.90111217420255E-2</v>
      </c>
      <c r="N20">
        <v>8.3082315837900794E-2</v>
      </c>
      <c r="O20" s="7">
        <v>1000</v>
      </c>
      <c r="P20" s="7">
        <v>0</v>
      </c>
      <c r="Q20" s="6">
        <v>0</v>
      </c>
    </row>
    <row r="21" spans="1:17" x14ac:dyDescent="0.25">
      <c r="A21">
        <v>2.85311670611005</v>
      </c>
      <c r="B21">
        <v>0.45531953674048498</v>
      </c>
      <c r="C21">
        <v>1.0000019644779701</v>
      </c>
      <c r="D21" s="14">
        <v>8.5316110402268596E-7</v>
      </c>
      <c r="E21" t="s">
        <v>37</v>
      </c>
      <c r="F21" s="14">
        <v>6.0381295691152602E-21</v>
      </c>
      <c r="G21">
        <v>3.9821306827756699</v>
      </c>
      <c r="H21">
        <v>0.58861401676955405</v>
      </c>
      <c r="I21">
        <v>9.21879318945623E-2</v>
      </c>
      <c r="J21">
        <v>9.7048380078642998E-2</v>
      </c>
      <c r="K21">
        <v>3.9759852399250302</v>
      </c>
      <c r="L21">
        <v>0.587734736561636</v>
      </c>
      <c r="M21">
        <v>9.1773827172630607E-2</v>
      </c>
      <c r="N21">
        <v>9.7417470722849606E-2</v>
      </c>
      <c r="O21" s="7">
        <v>1000</v>
      </c>
      <c r="P21" s="7">
        <v>0</v>
      </c>
      <c r="Q21" s="6">
        <v>0</v>
      </c>
    </row>
    <row r="22" spans="1:17" x14ac:dyDescent="0.25">
      <c r="A22">
        <v>3.1384283767210501</v>
      </c>
      <c r="B22">
        <v>0.49671222189869302</v>
      </c>
      <c r="C22">
        <v>1.0000019644779701</v>
      </c>
      <c r="D22" s="14">
        <v>8.5316110402268596E-7</v>
      </c>
      <c r="E22" t="s">
        <v>37</v>
      </c>
      <c r="F22" s="14">
        <v>6.0381295691152602E-21</v>
      </c>
      <c r="G22">
        <v>4.4635903250238602</v>
      </c>
      <c r="H22">
        <v>0.63539742162391799</v>
      </c>
      <c r="I22">
        <v>0.10342572368201999</v>
      </c>
      <c r="J22">
        <v>0.10657325515029401</v>
      </c>
      <c r="K22">
        <v>4.46938439978996</v>
      </c>
      <c r="L22">
        <v>0.63493799843401999</v>
      </c>
      <c r="M22">
        <v>0.103264418068984</v>
      </c>
      <c r="N22">
        <v>0.10898005835166601</v>
      </c>
      <c r="O22" s="7">
        <v>1000</v>
      </c>
      <c r="P22" s="7">
        <v>0</v>
      </c>
      <c r="Q22" s="6">
        <v>0</v>
      </c>
    </row>
    <row r="23" spans="1:17" x14ac:dyDescent="0.25">
      <c r="A23">
        <v>3.4522712143930399</v>
      </c>
      <c r="B23">
        <v>0.53810490705693204</v>
      </c>
      <c r="C23">
        <v>1.0000019644779701</v>
      </c>
      <c r="D23" s="14">
        <v>8.5316110402268596E-7</v>
      </c>
      <c r="E23" t="s">
        <v>37</v>
      </c>
      <c r="F23" s="14">
        <v>6.0381295691152602E-21</v>
      </c>
      <c r="G23">
        <v>5.0227250177851497</v>
      </c>
      <c r="H23">
        <v>0.68192686481788201</v>
      </c>
      <c r="I23">
        <v>0.115078313902989</v>
      </c>
      <c r="J23">
        <v>0.119051202572547</v>
      </c>
      <c r="K23">
        <v>5.0582662507178497</v>
      </c>
      <c r="L23">
        <v>0.682030378845501</v>
      </c>
      <c r="M23">
        <v>0.13036477066156801</v>
      </c>
      <c r="N23">
        <v>0.125830260617042</v>
      </c>
      <c r="O23" s="7">
        <v>1000</v>
      </c>
      <c r="P23" s="7">
        <v>0</v>
      </c>
      <c r="Q23" s="6">
        <v>0</v>
      </c>
    </row>
    <row r="24" spans="1:17" x14ac:dyDescent="0.25">
      <c r="A24">
        <v>3.79749833583231</v>
      </c>
      <c r="B24">
        <v>0.57949759221514796</v>
      </c>
      <c r="C24">
        <v>1.0000019644779701</v>
      </c>
      <c r="D24" s="14">
        <v>8.5316110402268596E-7</v>
      </c>
      <c r="E24" t="s">
        <v>37</v>
      </c>
      <c r="F24" s="14">
        <v>6.0381295691152602E-21</v>
      </c>
      <c r="G24">
        <v>5.6825547989096696</v>
      </c>
      <c r="H24">
        <v>0.73389108939040304</v>
      </c>
      <c r="I24">
        <v>0.128489458037719</v>
      </c>
      <c r="J24">
        <v>0.12791294757921001</v>
      </c>
      <c r="K24">
        <v>5.8049456009038201</v>
      </c>
      <c r="L24">
        <v>0.73600986343775299</v>
      </c>
      <c r="M24">
        <v>0.161701165661783</v>
      </c>
      <c r="N24">
        <v>0.142076269785681</v>
      </c>
      <c r="O24" s="7">
        <v>1000</v>
      </c>
      <c r="P24" s="7">
        <v>0</v>
      </c>
      <c r="Q24" s="6">
        <v>0</v>
      </c>
    </row>
    <row r="25" spans="1:17" x14ac:dyDescent="0.25">
      <c r="A25">
        <v>4.1772481694156403</v>
      </c>
      <c r="B25">
        <v>0.62089027737336999</v>
      </c>
      <c r="C25">
        <v>1.0000019644779701</v>
      </c>
      <c r="D25" s="14">
        <v>8.5316110402268596E-7</v>
      </c>
      <c r="E25" t="s">
        <v>37</v>
      </c>
      <c r="F25" s="14">
        <v>6.0381295691152602E-21</v>
      </c>
      <c r="G25">
        <v>6.6663084033122804</v>
      </c>
      <c r="H25">
        <v>0.79646855940263805</v>
      </c>
      <c r="I25">
        <v>0.14546152582501201</v>
      </c>
      <c r="J25">
        <v>0.14699670842034801</v>
      </c>
      <c r="K25">
        <v>7.0061736728746196</v>
      </c>
      <c r="L25">
        <v>0.80481819875442795</v>
      </c>
      <c r="M25">
        <v>0.25281316935320097</v>
      </c>
      <c r="N25">
        <v>0.17086816796816301</v>
      </c>
      <c r="O25" s="7">
        <v>1000</v>
      </c>
      <c r="P25" s="7">
        <v>0</v>
      </c>
      <c r="Q25" s="6">
        <v>0</v>
      </c>
    </row>
    <row r="26" spans="1:17" x14ac:dyDescent="0.25">
      <c r="A26">
        <v>4.5949729863572504</v>
      </c>
      <c r="B26">
        <v>0.66228296253159202</v>
      </c>
      <c r="C26">
        <v>1.0000019644779701</v>
      </c>
      <c r="D26" s="14">
        <v>8.5316110402268596E-7</v>
      </c>
      <c r="E26" t="s">
        <v>37</v>
      </c>
      <c r="F26" s="14">
        <v>6.0381295691152602E-21</v>
      </c>
      <c r="G26">
        <v>7.7411166367350601</v>
      </c>
      <c r="H26">
        <v>0.85128156995367299</v>
      </c>
      <c r="I26">
        <v>0.16100007061580099</v>
      </c>
      <c r="J26">
        <v>0.16775451185620899</v>
      </c>
      <c r="K26">
        <v>8.1515315619674897</v>
      </c>
      <c r="L26">
        <v>0.86215569560021599</v>
      </c>
      <c r="M26">
        <v>0.29643388452155001</v>
      </c>
      <c r="N26">
        <v>0.18887649886784899</v>
      </c>
      <c r="O26" s="7">
        <v>1000</v>
      </c>
      <c r="P26" s="7">
        <v>0</v>
      </c>
      <c r="Q26" s="6">
        <v>0</v>
      </c>
    </row>
    <row r="27" spans="1:17" x14ac:dyDescent="0.25">
      <c r="A27">
        <v>5.0544702849929299</v>
      </c>
      <c r="B27">
        <v>0.70367564768981405</v>
      </c>
      <c r="C27">
        <v>1.0000019644779701</v>
      </c>
      <c r="D27" s="14">
        <v>8.5316110402268596E-7</v>
      </c>
      <c r="E27" t="s">
        <v>37</v>
      </c>
      <c r="F27" s="14">
        <v>6.0381295691152602E-21</v>
      </c>
      <c r="G27">
        <v>9.4085097730500404</v>
      </c>
      <c r="H27">
        <v>0.91729983152064098</v>
      </c>
      <c r="I27">
        <v>0.18048016519599999</v>
      </c>
      <c r="J27">
        <v>0.195183370328712</v>
      </c>
      <c r="K27">
        <v>9.7915500863257101</v>
      </c>
      <c r="L27">
        <v>0.92972910453823199</v>
      </c>
      <c r="M27">
        <v>0.39734285471666098</v>
      </c>
      <c r="N27">
        <v>0.21609848296279499</v>
      </c>
      <c r="O27" s="7">
        <v>1000</v>
      </c>
      <c r="P27" s="7">
        <v>0</v>
      </c>
      <c r="Q27" s="6">
        <v>0</v>
      </c>
    </row>
    <row r="28" spans="1:17" x14ac:dyDescent="0.25">
      <c r="A28">
        <v>5.5599173134923303</v>
      </c>
      <c r="B28">
        <v>0.74506833284806095</v>
      </c>
      <c r="C28">
        <v>1.0000019644779701</v>
      </c>
      <c r="D28" s="14">
        <v>8.5316110402268596E-7</v>
      </c>
      <c r="E28" t="s">
        <v>37</v>
      </c>
      <c r="F28" s="14">
        <v>6.0381295691152602E-21</v>
      </c>
      <c r="G28">
        <v>10.485980982972199</v>
      </c>
      <c r="H28">
        <v>0.96081147016714896</v>
      </c>
      <c r="I28">
        <v>0.193527299155485</v>
      </c>
      <c r="J28">
        <v>0.205638188214298</v>
      </c>
      <c r="K28">
        <v>11.284356896603301</v>
      </c>
      <c r="L28">
        <v>0.98348515588274299</v>
      </c>
      <c r="M28">
        <v>0.54472257451904804</v>
      </c>
      <c r="N28">
        <v>0.23360334536406999</v>
      </c>
      <c r="O28" s="7">
        <v>1000</v>
      </c>
      <c r="P28" s="7">
        <v>0</v>
      </c>
      <c r="Q28" s="6">
        <v>0</v>
      </c>
    </row>
    <row r="29" spans="1:17" x14ac:dyDescent="0.25">
      <c r="A29">
        <v>6.1159090448415396</v>
      </c>
      <c r="B29">
        <v>0.78646101800628598</v>
      </c>
      <c r="C29">
        <v>1.0000019644779701</v>
      </c>
      <c r="D29" s="14">
        <v>8.5316110402268596E-7</v>
      </c>
      <c r="E29" t="s">
        <v>37</v>
      </c>
      <c r="F29" s="14">
        <v>6.0381295691152602E-21</v>
      </c>
      <c r="G29">
        <v>12.6630801404803</v>
      </c>
      <c r="H29">
        <v>1.0301036996272299</v>
      </c>
      <c r="I29">
        <v>0.21491334147409599</v>
      </c>
      <c r="J29">
        <v>0.223119412778959</v>
      </c>
      <c r="K29">
        <v>13.417563133611401</v>
      </c>
      <c r="L29">
        <v>1.0565721988696</v>
      </c>
      <c r="M29">
        <v>0.66900635099322703</v>
      </c>
      <c r="N29">
        <v>0.24753993387592199</v>
      </c>
      <c r="O29" s="7">
        <v>1000</v>
      </c>
      <c r="P29" s="7">
        <v>0</v>
      </c>
      <c r="Q29" s="6">
        <v>0</v>
      </c>
    </row>
    <row r="30" spans="1:17" x14ac:dyDescent="0.25">
      <c r="A30">
        <v>6.7274999493256402</v>
      </c>
      <c r="B30">
        <v>0.82785370316449203</v>
      </c>
      <c r="C30">
        <v>1.0000019644779701</v>
      </c>
      <c r="D30" s="14">
        <v>8.5316110402268596E-7</v>
      </c>
      <c r="E30" t="s">
        <v>37</v>
      </c>
      <c r="F30" s="14">
        <v>6.0381295691152602E-21</v>
      </c>
      <c r="G30">
        <v>16.055215880192598</v>
      </c>
      <c r="H30">
        <v>1.0774186189799499</v>
      </c>
      <c r="I30">
        <v>0.23053123439201501</v>
      </c>
      <c r="J30">
        <v>0.25444973326257297</v>
      </c>
      <c r="K30">
        <v>14.5911588097515</v>
      </c>
      <c r="L30">
        <v>1.08958787705622</v>
      </c>
      <c r="M30">
        <v>0.80489030649336002</v>
      </c>
      <c r="N30">
        <v>0.26583948614970099</v>
      </c>
      <c r="O30" s="7">
        <v>1000</v>
      </c>
      <c r="P30" s="7">
        <v>0</v>
      </c>
      <c r="Q30" s="6">
        <v>0</v>
      </c>
    </row>
    <row r="31" spans="1:17" x14ac:dyDescent="0.25">
      <c r="A31">
        <v>7.4002499442583201</v>
      </c>
      <c r="B31">
        <v>0.86924638832272205</v>
      </c>
      <c r="C31">
        <v>1.0000019644779701</v>
      </c>
      <c r="D31" s="14">
        <v>8.5316110402268596E-7</v>
      </c>
      <c r="E31" t="s">
        <v>37</v>
      </c>
      <c r="F31" s="14">
        <v>6.0381295691152602E-21</v>
      </c>
      <c r="G31">
        <v>18.926787300360399</v>
      </c>
      <c r="H31">
        <v>1.13477064813127</v>
      </c>
      <c r="I31">
        <v>0.249416213938082</v>
      </c>
      <c r="J31">
        <v>0.27361495072802899</v>
      </c>
      <c r="K31">
        <v>16.487730775634599</v>
      </c>
      <c r="L31">
        <v>1.14362211740178</v>
      </c>
      <c r="M31">
        <v>0.82953322061242896</v>
      </c>
      <c r="N31">
        <v>0.27216373549469097</v>
      </c>
      <c r="O31" s="7">
        <v>1000</v>
      </c>
      <c r="P31" s="7">
        <v>0</v>
      </c>
      <c r="Q31" s="6">
        <v>0</v>
      </c>
    </row>
    <row r="32" spans="1:17" x14ac:dyDescent="0.25">
      <c r="A32">
        <v>8.1402749386841204</v>
      </c>
      <c r="B32">
        <v>0.91063907348097095</v>
      </c>
      <c r="C32">
        <v>1.0000019644779701</v>
      </c>
      <c r="D32" s="14">
        <v>8.5316110402268596E-7</v>
      </c>
      <c r="E32" t="s">
        <v>37</v>
      </c>
      <c r="F32" s="14">
        <v>6.0381295691152602E-21</v>
      </c>
      <c r="G32">
        <v>24.059294200161101</v>
      </c>
      <c r="H32">
        <v>1.18758940751188</v>
      </c>
      <c r="I32">
        <v>0.26757511349499802</v>
      </c>
      <c r="J32">
        <v>0.30059095599809199</v>
      </c>
      <c r="K32">
        <v>17.657857722749899</v>
      </c>
      <c r="L32">
        <v>1.17489158247817</v>
      </c>
      <c r="M32">
        <v>0.90454226206442201</v>
      </c>
      <c r="N32">
        <v>0.28044975233732999</v>
      </c>
      <c r="O32" s="7">
        <v>1000</v>
      </c>
      <c r="P32" s="7">
        <v>0</v>
      </c>
      <c r="Q32" s="6">
        <v>0</v>
      </c>
    </row>
    <row r="33" spans="1:17" x14ac:dyDescent="0.25">
      <c r="A33">
        <v>8.9543024325522893</v>
      </c>
      <c r="B33">
        <v>0.95203175863915301</v>
      </c>
      <c r="C33">
        <v>1.0000019644779701</v>
      </c>
      <c r="D33" s="14">
        <v>8.5316110402268596E-7</v>
      </c>
      <c r="E33" t="s">
        <v>37</v>
      </c>
      <c r="F33" s="14">
        <v>6.0381295691152602E-21</v>
      </c>
      <c r="G33">
        <v>22.3233316450975</v>
      </c>
      <c r="H33">
        <v>1.20974596131437</v>
      </c>
      <c r="I33">
        <v>0.27461628599383903</v>
      </c>
      <c r="J33">
        <v>0.292751470572301</v>
      </c>
      <c r="K33">
        <v>18.0370994916298</v>
      </c>
      <c r="L33">
        <v>1.18134524063809</v>
      </c>
      <c r="M33">
        <v>0.85939934558711295</v>
      </c>
      <c r="N33">
        <v>0.29277038344194001</v>
      </c>
      <c r="O33" s="7">
        <v>1000</v>
      </c>
      <c r="P33" s="7">
        <v>0</v>
      </c>
      <c r="Q33" s="6">
        <v>0</v>
      </c>
    </row>
    <row r="34" spans="1:17" x14ac:dyDescent="0.25">
      <c r="A34">
        <v>9.8497326758077506</v>
      </c>
      <c r="B34">
        <v>0.99342444379738704</v>
      </c>
      <c r="C34">
        <v>1.0000019644779701</v>
      </c>
      <c r="D34" s="14">
        <v>8.5316110402268596E-7</v>
      </c>
      <c r="E34" t="s">
        <v>37</v>
      </c>
      <c r="F34" s="14">
        <v>6.0381295691152602E-21</v>
      </c>
      <c r="G34">
        <v>27.083268466831399</v>
      </c>
      <c r="H34">
        <v>1.2513452652305399</v>
      </c>
      <c r="I34">
        <v>0.288787148369541</v>
      </c>
      <c r="J34">
        <v>0.30041018339138298</v>
      </c>
      <c r="K34">
        <v>19.495908850008298</v>
      </c>
      <c r="L34">
        <v>1.21841174538316</v>
      </c>
      <c r="M34">
        <v>0.92972464872906901</v>
      </c>
      <c r="N34">
        <v>0.29870680399194699</v>
      </c>
      <c r="O34" s="7">
        <v>1000</v>
      </c>
      <c r="P34" s="7">
        <v>0</v>
      </c>
      <c r="Q34" s="6">
        <v>0</v>
      </c>
    </row>
    <row r="36" spans="1:17" x14ac:dyDescent="0.25">
      <c r="A36" s="3" t="s">
        <v>8</v>
      </c>
      <c r="B36" s="3" t="s">
        <v>25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26</v>
      </c>
      <c r="H36" s="3" t="s">
        <v>27</v>
      </c>
      <c r="I36" s="3" t="s">
        <v>28</v>
      </c>
      <c r="J36" s="3" t="s">
        <v>29</v>
      </c>
      <c r="K36" s="3" t="s">
        <v>30</v>
      </c>
      <c r="L36" s="3" t="s">
        <v>31</v>
      </c>
      <c r="M36" s="3" t="s">
        <v>32</v>
      </c>
      <c r="N36" s="3" t="s">
        <v>33</v>
      </c>
      <c r="O36" s="3" t="s">
        <v>34</v>
      </c>
      <c r="P36" s="3" t="s">
        <v>35</v>
      </c>
    </row>
    <row r="37" spans="1:17" x14ac:dyDescent="0.25">
      <c r="A37" s="6">
        <f>$B11</f>
        <v>4.1392685158224501E-2</v>
      </c>
      <c r="B37" s="6">
        <f>$D11</f>
        <v>8.5316110402268596E-7</v>
      </c>
      <c r="C37" s="6" t="e">
        <f t="shared" ref="C37:C60" si="0">B37-$E11</f>
        <v>#VALUE!</v>
      </c>
      <c r="D37" s="6" t="e">
        <f t="shared" ref="D37:D60" si="1">B37+$E11</f>
        <v>#VALUE!</v>
      </c>
      <c r="E37" s="6">
        <f>$B37-$F11</f>
        <v>8.5316110402267992E-7</v>
      </c>
      <c r="F37" s="6">
        <f>$B37+$F11</f>
        <v>8.5316110402269199E-7</v>
      </c>
      <c r="G37" s="6">
        <f>$H11</f>
        <v>8.1794672397526497E-2</v>
      </c>
      <c r="H37" s="6">
        <f>$G37-$I11</f>
        <v>7.7057485232485928E-2</v>
      </c>
      <c r="I37" s="6">
        <f>$G37+$I11</f>
        <v>8.6531859562567065E-2</v>
      </c>
      <c r="J37" s="6">
        <f>$G37-$J11</f>
        <v>7.5908732843188512E-2</v>
      </c>
      <c r="K37" s="6">
        <f>$G37+$J11</f>
        <v>8.7680611951864482E-2</v>
      </c>
      <c r="L37" s="6">
        <f>$L11</f>
        <v>0.28974879610757398</v>
      </c>
      <c r="M37" s="6">
        <f>$L37-$M11</f>
        <v>0.25823169613703439</v>
      </c>
      <c r="N37" s="6">
        <f>$L37+$M11</f>
        <v>0.32126589607811357</v>
      </c>
      <c r="O37" s="6">
        <f>$L37-$N11</f>
        <v>0.28974879610757254</v>
      </c>
      <c r="P37" s="6">
        <f>$L37+$N11</f>
        <v>0.28974879610757542</v>
      </c>
    </row>
    <row r="38" spans="1:17" x14ac:dyDescent="0.25">
      <c r="A38" s="6">
        <f t="shared" ref="A38:A60" si="2">$B12</f>
        <v>8.2785370316449003E-2</v>
      </c>
      <c r="B38" s="6">
        <f t="shared" ref="B38:B60" si="3">$D12</f>
        <v>8.5316110402268596E-7</v>
      </c>
      <c r="C38" s="6" t="e">
        <f t="shared" si="0"/>
        <v>#VALUE!</v>
      </c>
      <c r="D38" s="6" t="e">
        <f t="shared" si="1"/>
        <v>#VALUE!</v>
      </c>
      <c r="E38" s="6">
        <f t="shared" ref="E38:E60" si="4">$B38-$F12</f>
        <v>8.5316110402267992E-7</v>
      </c>
      <c r="F38" s="6">
        <f t="shared" ref="F38:F60" si="5">$B38+$F12</f>
        <v>8.5316110402269199E-7</v>
      </c>
      <c r="G38" s="6">
        <f t="shared" ref="G38:G60" si="6">$H12</f>
        <v>0.135103190409879</v>
      </c>
      <c r="H38" s="6">
        <f t="shared" ref="H38:H60" si="7">$G38-$I12</f>
        <v>0.12504183836101501</v>
      </c>
      <c r="I38" s="6">
        <f t="shared" ref="I38:I60" si="8">$G38+$I12</f>
        <v>0.145164542458743</v>
      </c>
      <c r="J38" s="6">
        <f t="shared" ref="J38:J60" si="9">$G38-$J12</f>
        <v>0.1241471978033155</v>
      </c>
      <c r="K38" s="6">
        <f t="shared" ref="K38:K60" si="10">$G38+$J12</f>
        <v>0.1460591830164425</v>
      </c>
      <c r="L38" s="6">
        <f t="shared" ref="L38:L60" si="11">$L12</f>
        <v>0.28974879610757398</v>
      </c>
      <c r="M38" s="6">
        <f t="shared" ref="M38:M60" si="12">$L38-$M12</f>
        <v>0.25823169613703439</v>
      </c>
      <c r="N38" s="6">
        <f t="shared" ref="N38:N60" si="13">$L38+$M12</f>
        <v>0.32126589607811357</v>
      </c>
      <c r="O38" s="6">
        <f t="shared" ref="O38:O60" si="14">$L38-$N12</f>
        <v>0.28974879610757254</v>
      </c>
      <c r="P38" s="6">
        <f t="shared" ref="P38:P60" si="15">$L38+$N12</f>
        <v>0.28974879610757542</v>
      </c>
    </row>
    <row r="39" spans="1:17" x14ac:dyDescent="0.25">
      <c r="A39" s="6">
        <f t="shared" si="2"/>
        <v>0.124178055474673</v>
      </c>
      <c r="B39" s="6">
        <f t="shared" si="3"/>
        <v>8.5316110402268596E-7</v>
      </c>
      <c r="C39" s="6" t="e">
        <f t="shared" si="0"/>
        <v>#VALUE!</v>
      </c>
      <c r="D39" s="6" t="e">
        <f t="shared" si="1"/>
        <v>#VALUE!</v>
      </c>
      <c r="E39" s="6">
        <f t="shared" si="4"/>
        <v>8.5316110402267992E-7</v>
      </c>
      <c r="F39" s="6">
        <f t="shared" si="5"/>
        <v>8.5316110402269199E-7</v>
      </c>
      <c r="G39" s="6">
        <f t="shared" si="6"/>
        <v>0.18614027473920899</v>
      </c>
      <c r="H39" s="6">
        <f t="shared" si="7"/>
        <v>0.1698581234095945</v>
      </c>
      <c r="I39" s="6">
        <f t="shared" si="8"/>
        <v>0.20242242606882349</v>
      </c>
      <c r="J39" s="6">
        <f t="shared" si="9"/>
        <v>0.16909906037408279</v>
      </c>
      <c r="K39" s="6">
        <f t="shared" si="10"/>
        <v>0.2031814891043352</v>
      </c>
      <c r="L39" s="6">
        <f t="shared" si="11"/>
        <v>0.28974879610757398</v>
      </c>
      <c r="M39" s="6">
        <f t="shared" si="12"/>
        <v>0.25823169613703439</v>
      </c>
      <c r="N39" s="6">
        <f t="shared" si="13"/>
        <v>0.32126589607811357</v>
      </c>
      <c r="O39" s="6">
        <f t="shared" si="14"/>
        <v>0.28974879610757254</v>
      </c>
      <c r="P39" s="6">
        <f t="shared" si="15"/>
        <v>0.28974879610757542</v>
      </c>
    </row>
    <row r="40" spans="1:17" x14ac:dyDescent="0.25">
      <c r="A40" s="6">
        <f t="shared" si="2"/>
        <v>0.16557074063289801</v>
      </c>
      <c r="B40" s="6">
        <f t="shared" si="3"/>
        <v>8.5316110402268596E-7</v>
      </c>
      <c r="C40" s="6" t="e">
        <f t="shared" si="0"/>
        <v>#VALUE!</v>
      </c>
      <c r="D40" s="6" t="e">
        <f t="shared" si="1"/>
        <v>#VALUE!</v>
      </c>
      <c r="E40" s="6">
        <f t="shared" si="4"/>
        <v>8.5316110402267992E-7</v>
      </c>
      <c r="F40" s="6">
        <f t="shared" si="5"/>
        <v>8.5316110402269199E-7</v>
      </c>
      <c r="G40" s="6">
        <f t="shared" si="6"/>
        <v>0.23711339950676799</v>
      </c>
      <c r="H40" s="6">
        <f t="shared" si="7"/>
        <v>0.21367124399514778</v>
      </c>
      <c r="I40" s="6">
        <f t="shared" si="8"/>
        <v>0.26055555501838817</v>
      </c>
      <c r="J40" s="6">
        <f t="shared" si="9"/>
        <v>0.21088394024521959</v>
      </c>
      <c r="K40" s="6">
        <f t="shared" si="10"/>
        <v>0.26334285876831637</v>
      </c>
      <c r="L40" s="6">
        <f t="shared" si="11"/>
        <v>0.29036968638494698</v>
      </c>
      <c r="M40" s="6">
        <f t="shared" si="12"/>
        <v>0.2587476950422713</v>
      </c>
      <c r="N40" s="6">
        <f t="shared" si="13"/>
        <v>0.32199167772762266</v>
      </c>
      <c r="O40" s="6">
        <f t="shared" si="14"/>
        <v>0.2853357861888996</v>
      </c>
      <c r="P40" s="6">
        <f t="shared" si="15"/>
        <v>0.29540358658099436</v>
      </c>
    </row>
    <row r="41" spans="1:17" x14ac:dyDescent="0.25">
      <c r="A41" s="6">
        <f t="shared" si="2"/>
        <v>0.20696342579112301</v>
      </c>
      <c r="B41" s="6">
        <f t="shared" si="3"/>
        <v>8.5316110402268596E-7</v>
      </c>
      <c r="C41" s="6" t="e">
        <f t="shared" si="0"/>
        <v>#VALUE!</v>
      </c>
      <c r="D41" s="6" t="e">
        <f t="shared" si="1"/>
        <v>#VALUE!</v>
      </c>
      <c r="E41" s="6">
        <f t="shared" si="4"/>
        <v>8.5316110402267992E-7</v>
      </c>
      <c r="F41" s="6">
        <f t="shared" si="5"/>
        <v>8.5316110402269199E-7</v>
      </c>
      <c r="G41" s="6">
        <f t="shared" si="6"/>
        <v>0.284985828534356</v>
      </c>
      <c r="H41" s="6">
        <f t="shared" si="7"/>
        <v>0.25407915219279248</v>
      </c>
      <c r="I41" s="6">
        <f t="shared" si="8"/>
        <v>0.31589250487591952</v>
      </c>
      <c r="J41" s="6">
        <f t="shared" si="9"/>
        <v>0.25147938858755142</v>
      </c>
      <c r="K41" s="6">
        <f t="shared" si="10"/>
        <v>0.31849226848116058</v>
      </c>
      <c r="L41" s="6">
        <f t="shared" si="11"/>
        <v>0.300965642487598</v>
      </c>
      <c r="M41" s="6">
        <f t="shared" si="12"/>
        <v>0.26753589147440421</v>
      </c>
      <c r="N41" s="6">
        <f t="shared" si="13"/>
        <v>0.33439539350079178</v>
      </c>
      <c r="O41" s="6">
        <f t="shared" si="14"/>
        <v>0.27906529409675507</v>
      </c>
      <c r="P41" s="6">
        <f t="shared" si="15"/>
        <v>0.32286599087844092</v>
      </c>
    </row>
    <row r="42" spans="1:17" x14ac:dyDescent="0.25">
      <c r="A42" s="6">
        <f t="shared" si="2"/>
        <v>0.24835611094934601</v>
      </c>
      <c r="B42" s="6">
        <f t="shared" si="3"/>
        <v>8.5316110402268596E-7</v>
      </c>
      <c r="C42" s="6" t="e">
        <f t="shared" si="0"/>
        <v>#VALUE!</v>
      </c>
      <c r="D42" s="6" t="e">
        <f t="shared" si="1"/>
        <v>#VALUE!</v>
      </c>
      <c r="E42" s="6">
        <f t="shared" si="4"/>
        <v>8.5316110402267992E-7</v>
      </c>
      <c r="F42" s="6">
        <f t="shared" si="5"/>
        <v>8.5316110402269199E-7</v>
      </c>
      <c r="G42" s="6">
        <f t="shared" si="6"/>
        <v>0.33537241771722998</v>
      </c>
      <c r="H42" s="6">
        <f t="shared" si="7"/>
        <v>0.29590727297309588</v>
      </c>
      <c r="I42" s="6">
        <f t="shared" si="8"/>
        <v>0.37483756246136407</v>
      </c>
      <c r="J42" s="6">
        <f t="shared" si="9"/>
        <v>0.2950152094806644</v>
      </c>
      <c r="K42" s="6">
        <f t="shared" si="10"/>
        <v>0.37572962595379555</v>
      </c>
      <c r="L42" s="6">
        <f t="shared" si="11"/>
        <v>0.336768029958045</v>
      </c>
      <c r="M42" s="6">
        <f t="shared" si="12"/>
        <v>0.2970872204856852</v>
      </c>
      <c r="N42" s="6">
        <f t="shared" si="13"/>
        <v>0.3764488394304048</v>
      </c>
      <c r="O42" s="6">
        <f t="shared" si="14"/>
        <v>0.29813805078649652</v>
      </c>
      <c r="P42" s="6">
        <f t="shared" si="15"/>
        <v>0.37539800912959348</v>
      </c>
    </row>
    <row r="43" spans="1:17" x14ac:dyDescent="0.25">
      <c r="A43" s="6">
        <f t="shared" si="2"/>
        <v>0.28974879610757398</v>
      </c>
      <c r="B43" s="6">
        <f t="shared" si="3"/>
        <v>8.5316110402268596E-7</v>
      </c>
      <c r="C43" s="6" t="e">
        <f t="shared" si="0"/>
        <v>#VALUE!</v>
      </c>
      <c r="D43" s="6" t="e">
        <f t="shared" si="1"/>
        <v>#VALUE!</v>
      </c>
      <c r="E43" s="6">
        <f t="shared" si="4"/>
        <v>8.5316110402267992E-7</v>
      </c>
      <c r="F43" s="6">
        <f t="shared" si="5"/>
        <v>8.5316110402269199E-7</v>
      </c>
      <c r="G43" s="6">
        <f t="shared" si="6"/>
        <v>0.38250364091364097</v>
      </c>
      <c r="H43" s="6">
        <f t="shared" si="7"/>
        <v>0.33438546513984369</v>
      </c>
      <c r="I43" s="6">
        <f t="shared" si="8"/>
        <v>0.43062181668743826</v>
      </c>
      <c r="J43" s="6">
        <f t="shared" si="9"/>
        <v>0.33230957044012166</v>
      </c>
      <c r="K43" s="6">
        <f t="shared" si="10"/>
        <v>0.43269771138716029</v>
      </c>
      <c r="L43" s="6">
        <f t="shared" si="11"/>
        <v>0.381963882301879</v>
      </c>
      <c r="M43" s="6">
        <f t="shared" si="12"/>
        <v>0.33392860422896981</v>
      </c>
      <c r="N43" s="6">
        <f t="shared" si="13"/>
        <v>0.42999916037478819</v>
      </c>
      <c r="O43" s="6">
        <f t="shared" si="14"/>
        <v>0.32955285830441927</v>
      </c>
      <c r="P43" s="6">
        <f t="shared" si="15"/>
        <v>0.43437490629933873</v>
      </c>
    </row>
    <row r="44" spans="1:17" x14ac:dyDescent="0.25">
      <c r="A44" s="6">
        <f t="shared" si="2"/>
        <v>0.33114148126579601</v>
      </c>
      <c r="B44" s="6">
        <f t="shared" si="3"/>
        <v>8.5316110402268596E-7</v>
      </c>
      <c r="C44" s="6" t="e">
        <f t="shared" si="0"/>
        <v>#VALUE!</v>
      </c>
      <c r="D44" s="6" t="e">
        <f t="shared" si="1"/>
        <v>#VALUE!</v>
      </c>
      <c r="E44" s="6">
        <f t="shared" si="4"/>
        <v>8.5316110402267992E-7</v>
      </c>
      <c r="F44" s="6">
        <f t="shared" si="5"/>
        <v>8.5316110402269199E-7</v>
      </c>
      <c r="G44" s="6">
        <f t="shared" si="6"/>
        <v>0.43800042818235801</v>
      </c>
      <c r="H44" s="6">
        <f t="shared" si="7"/>
        <v>0.37897149831382121</v>
      </c>
      <c r="I44" s="6">
        <f t="shared" si="8"/>
        <v>0.49702935805089482</v>
      </c>
      <c r="J44" s="6">
        <f t="shared" si="9"/>
        <v>0.37540776372555729</v>
      </c>
      <c r="K44" s="6">
        <f t="shared" si="10"/>
        <v>0.50059309263915874</v>
      </c>
      <c r="L44" s="6">
        <f t="shared" si="11"/>
        <v>0.43871992739631799</v>
      </c>
      <c r="M44" s="6">
        <f t="shared" si="12"/>
        <v>0.37959839061018469</v>
      </c>
      <c r="N44" s="6">
        <f t="shared" si="13"/>
        <v>0.49784146418245129</v>
      </c>
      <c r="O44" s="6">
        <f t="shared" si="14"/>
        <v>0.37552449706456759</v>
      </c>
      <c r="P44" s="6">
        <f t="shared" si="15"/>
        <v>0.50191535772806839</v>
      </c>
    </row>
    <row r="45" spans="1:17" x14ac:dyDescent="0.25">
      <c r="A45" s="6">
        <f t="shared" si="2"/>
        <v>0.37253416642402998</v>
      </c>
      <c r="B45" s="6">
        <f t="shared" si="3"/>
        <v>8.5316110402268596E-7</v>
      </c>
      <c r="C45" s="6" t="e">
        <f t="shared" si="0"/>
        <v>#VALUE!</v>
      </c>
      <c r="D45" s="6" t="e">
        <f t="shared" si="1"/>
        <v>#VALUE!</v>
      </c>
      <c r="E45" s="6">
        <f t="shared" si="4"/>
        <v>8.5316110402267992E-7</v>
      </c>
      <c r="F45" s="6">
        <f t="shared" si="5"/>
        <v>8.5316110402269199E-7</v>
      </c>
      <c r="G45" s="6">
        <f t="shared" si="6"/>
        <v>0.48426815523317501</v>
      </c>
      <c r="H45" s="6">
        <f t="shared" si="7"/>
        <v>0.41556873326905913</v>
      </c>
      <c r="I45" s="6">
        <f t="shared" si="8"/>
        <v>0.55296757719729095</v>
      </c>
      <c r="J45" s="6">
        <f t="shared" si="9"/>
        <v>0.41006995409967029</v>
      </c>
      <c r="K45" s="6">
        <f t="shared" si="10"/>
        <v>0.55846635636667974</v>
      </c>
      <c r="L45" s="6">
        <f t="shared" si="11"/>
        <v>0.48584635639573998</v>
      </c>
      <c r="M45" s="6">
        <f t="shared" si="12"/>
        <v>0.41685380977219688</v>
      </c>
      <c r="N45" s="6">
        <f t="shared" si="13"/>
        <v>0.55483890301928307</v>
      </c>
      <c r="O45" s="6">
        <f t="shared" si="14"/>
        <v>0.41128265725352597</v>
      </c>
      <c r="P45" s="6">
        <f t="shared" si="15"/>
        <v>0.56041005553795398</v>
      </c>
    </row>
    <row r="46" spans="1:17" x14ac:dyDescent="0.25">
      <c r="A46" s="6">
        <f t="shared" si="2"/>
        <v>0.41392685158224601</v>
      </c>
      <c r="B46" s="6">
        <f t="shared" si="3"/>
        <v>8.5316110402268596E-7</v>
      </c>
      <c r="C46" s="6" t="e">
        <f t="shared" si="0"/>
        <v>#VALUE!</v>
      </c>
      <c r="D46" s="6" t="e">
        <f t="shared" si="1"/>
        <v>#VALUE!</v>
      </c>
      <c r="E46" s="6">
        <f t="shared" si="4"/>
        <v>8.5316110402267992E-7</v>
      </c>
      <c r="F46" s="6">
        <f t="shared" si="5"/>
        <v>8.5316110402269199E-7</v>
      </c>
      <c r="G46" s="6">
        <f t="shared" si="6"/>
        <v>0.53216511522704002</v>
      </c>
      <c r="H46" s="6">
        <f t="shared" si="7"/>
        <v>0.45299402050193793</v>
      </c>
      <c r="I46" s="6">
        <f t="shared" si="8"/>
        <v>0.61133620995214211</v>
      </c>
      <c r="J46" s="6">
        <f t="shared" si="9"/>
        <v>0.44878180528725042</v>
      </c>
      <c r="K46" s="6">
        <f t="shared" si="10"/>
        <v>0.61554842516682962</v>
      </c>
      <c r="L46" s="6">
        <f t="shared" si="11"/>
        <v>0.53187006244273705</v>
      </c>
      <c r="M46" s="6">
        <f t="shared" si="12"/>
        <v>0.45285894070071153</v>
      </c>
      <c r="N46" s="6">
        <f t="shared" si="13"/>
        <v>0.61088118418476256</v>
      </c>
      <c r="O46" s="6">
        <f t="shared" si="14"/>
        <v>0.44878774660483622</v>
      </c>
      <c r="P46" s="6">
        <f t="shared" si="15"/>
        <v>0.61495237828063787</v>
      </c>
    </row>
    <row r="47" spans="1:17" x14ac:dyDescent="0.25">
      <c r="A47" s="6">
        <f t="shared" si="2"/>
        <v>0.45531953674048498</v>
      </c>
      <c r="B47" s="6">
        <f t="shared" si="3"/>
        <v>8.5316110402268596E-7</v>
      </c>
      <c r="C47" s="6" t="e">
        <f t="shared" si="0"/>
        <v>#VALUE!</v>
      </c>
      <c r="D47" s="6" t="e">
        <f t="shared" si="1"/>
        <v>#VALUE!</v>
      </c>
      <c r="E47" s="6">
        <f t="shared" si="4"/>
        <v>8.5316110402267992E-7</v>
      </c>
      <c r="F47" s="6">
        <f t="shared" si="5"/>
        <v>8.5316110402269199E-7</v>
      </c>
      <c r="G47" s="6">
        <f t="shared" si="6"/>
        <v>0.58861401676955405</v>
      </c>
      <c r="H47" s="6">
        <f t="shared" si="7"/>
        <v>0.49642608487499174</v>
      </c>
      <c r="I47" s="6">
        <f t="shared" si="8"/>
        <v>0.68080194866411636</v>
      </c>
      <c r="J47" s="6">
        <f t="shared" si="9"/>
        <v>0.49156563669091102</v>
      </c>
      <c r="K47" s="6">
        <f t="shared" si="10"/>
        <v>0.68566239684819708</v>
      </c>
      <c r="L47" s="6">
        <f t="shared" si="11"/>
        <v>0.587734736561636</v>
      </c>
      <c r="M47" s="6">
        <f t="shared" si="12"/>
        <v>0.49596090938900539</v>
      </c>
      <c r="N47" s="6">
        <f t="shared" si="13"/>
        <v>0.6795085637342666</v>
      </c>
      <c r="O47" s="6">
        <f t="shared" si="14"/>
        <v>0.49031726583878638</v>
      </c>
      <c r="P47" s="6">
        <f t="shared" si="15"/>
        <v>0.68515220728448556</v>
      </c>
    </row>
    <row r="48" spans="1:17" x14ac:dyDescent="0.25">
      <c r="A48" s="6">
        <f t="shared" si="2"/>
        <v>0.49671222189869302</v>
      </c>
      <c r="B48" s="6">
        <f t="shared" si="3"/>
        <v>8.5316110402268596E-7</v>
      </c>
      <c r="C48" s="6" t="e">
        <f t="shared" si="0"/>
        <v>#VALUE!</v>
      </c>
      <c r="D48" s="6" t="e">
        <f t="shared" si="1"/>
        <v>#VALUE!</v>
      </c>
      <c r="E48" s="6">
        <f t="shared" si="4"/>
        <v>8.5316110402267992E-7</v>
      </c>
      <c r="F48" s="6">
        <f t="shared" si="5"/>
        <v>8.5316110402269199E-7</v>
      </c>
      <c r="G48" s="6">
        <f t="shared" si="6"/>
        <v>0.63539742162391799</v>
      </c>
      <c r="H48" s="6">
        <f t="shared" si="7"/>
        <v>0.53197169794189803</v>
      </c>
      <c r="I48" s="6">
        <f t="shared" si="8"/>
        <v>0.73882314530593796</v>
      </c>
      <c r="J48" s="6">
        <f t="shared" si="9"/>
        <v>0.52882416647362396</v>
      </c>
      <c r="K48" s="6">
        <f t="shared" si="10"/>
        <v>0.74197067677421202</v>
      </c>
      <c r="L48" s="6">
        <f t="shared" si="11"/>
        <v>0.63493799843401999</v>
      </c>
      <c r="M48" s="6">
        <f t="shared" si="12"/>
        <v>0.53167358036503598</v>
      </c>
      <c r="N48" s="6">
        <f t="shared" si="13"/>
        <v>0.738202416503004</v>
      </c>
      <c r="O48" s="6">
        <f t="shared" si="14"/>
        <v>0.52595794008235397</v>
      </c>
      <c r="P48" s="6">
        <f t="shared" si="15"/>
        <v>0.74391805678568601</v>
      </c>
    </row>
    <row r="49" spans="1:16" x14ac:dyDescent="0.25">
      <c r="A49" s="6">
        <f t="shared" si="2"/>
        <v>0.53810490705693204</v>
      </c>
      <c r="B49" s="6">
        <f t="shared" si="3"/>
        <v>8.5316110402268596E-7</v>
      </c>
      <c r="C49" s="6" t="e">
        <f t="shared" si="0"/>
        <v>#VALUE!</v>
      </c>
      <c r="D49" s="6" t="e">
        <f t="shared" si="1"/>
        <v>#VALUE!</v>
      </c>
      <c r="E49" s="6">
        <f t="shared" si="4"/>
        <v>8.5316110402267992E-7</v>
      </c>
      <c r="F49" s="6">
        <f t="shared" si="5"/>
        <v>8.5316110402269199E-7</v>
      </c>
      <c r="G49" s="6">
        <f t="shared" si="6"/>
        <v>0.68192686481788201</v>
      </c>
      <c r="H49" s="6">
        <f t="shared" si="7"/>
        <v>0.56684855091489306</v>
      </c>
      <c r="I49" s="6">
        <f t="shared" si="8"/>
        <v>0.79700517872087095</v>
      </c>
      <c r="J49" s="6">
        <f t="shared" si="9"/>
        <v>0.56287566224533503</v>
      </c>
      <c r="K49" s="6">
        <f t="shared" si="10"/>
        <v>0.80097806739042898</v>
      </c>
      <c r="L49" s="6">
        <f t="shared" si="11"/>
        <v>0.682030378845501</v>
      </c>
      <c r="M49" s="6">
        <f t="shared" si="12"/>
        <v>0.55166560818393295</v>
      </c>
      <c r="N49" s="6">
        <f t="shared" si="13"/>
        <v>0.81239514950706904</v>
      </c>
      <c r="O49" s="6">
        <f t="shared" si="14"/>
        <v>0.55620011822845905</v>
      </c>
      <c r="P49" s="6">
        <f t="shared" si="15"/>
        <v>0.80786063946254294</v>
      </c>
    </row>
    <row r="50" spans="1:16" x14ac:dyDescent="0.25">
      <c r="A50" s="6">
        <f t="shared" si="2"/>
        <v>0.57949759221514796</v>
      </c>
      <c r="B50" s="6">
        <f t="shared" si="3"/>
        <v>8.5316110402268596E-7</v>
      </c>
      <c r="C50" s="6" t="e">
        <f t="shared" si="0"/>
        <v>#VALUE!</v>
      </c>
      <c r="D50" s="6" t="e">
        <f t="shared" si="1"/>
        <v>#VALUE!</v>
      </c>
      <c r="E50" s="6">
        <f t="shared" si="4"/>
        <v>8.5316110402267992E-7</v>
      </c>
      <c r="F50" s="6">
        <f t="shared" si="5"/>
        <v>8.5316110402269199E-7</v>
      </c>
      <c r="G50" s="6">
        <f t="shared" si="6"/>
        <v>0.73389108939040304</v>
      </c>
      <c r="H50" s="6">
        <f t="shared" si="7"/>
        <v>0.60540163135268399</v>
      </c>
      <c r="I50" s="6">
        <f t="shared" si="8"/>
        <v>0.86238054742812209</v>
      </c>
      <c r="J50" s="6">
        <f t="shared" si="9"/>
        <v>0.60597814181119303</v>
      </c>
      <c r="K50" s="6">
        <f t="shared" si="10"/>
        <v>0.86180403696961305</v>
      </c>
      <c r="L50" s="6">
        <f t="shared" si="11"/>
        <v>0.73600986343775299</v>
      </c>
      <c r="M50" s="6">
        <f t="shared" si="12"/>
        <v>0.57430869777596993</v>
      </c>
      <c r="N50" s="6">
        <f t="shared" si="13"/>
        <v>0.89771102909953604</v>
      </c>
      <c r="O50" s="6">
        <f t="shared" si="14"/>
        <v>0.59393359365207199</v>
      </c>
      <c r="P50" s="6">
        <f t="shared" si="15"/>
        <v>0.87808613322343398</v>
      </c>
    </row>
    <row r="51" spans="1:16" x14ac:dyDescent="0.25">
      <c r="A51" s="6">
        <f t="shared" si="2"/>
        <v>0.62089027737336999</v>
      </c>
      <c r="B51" s="6">
        <f t="shared" si="3"/>
        <v>8.5316110402268596E-7</v>
      </c>
      <c r="C51" s="6" t="e">
        <f t="shared" si="0"/>
        <v>#VALUE!</v>
      </c>
      <c r="D51" s="6" t="e">
        <f t="shared" si="1"/>
        <v>#VALUE!</v>
      </c>
      <c r="E51" s="6">
        <f t="shared" si="4"/>
        <v>8.5316110402267992E-7</v>
      </c>
      <c r="F51" s="6">
        <f t="shared" si="5"/>
        <v>8.5316110402269199E-7</v>
      </c>
      <c r="G51" s="6">
        <f t="shared" si="6"/>
        <v>0.79646855940263805</v>
      </c>
      <c r="H51" s="6">
        <f t="shared" si="7"/>
        <v>0.65100703357762602</v>
      </c>
      <c r="I51" s="6">
        <f t="shared" si="8"/>
        <v>0.94193008522765009</v>
      </c>
      <c r="J51" s="6">
        <f t="shared" si="9"/>
        <v>0.6494718509822901</v>
      </c>
      <c r="K51" s="6">
        <f t="shared" si="10"/>
        <v>0.94346526782298601</v>
      </c>
      <c r="L51" s="6">
        <f t="shared" si="11"/>
        <v>0.80481819875442795</v>
      </c>
      <c r="M51" s="6">
        <f t="shared" si="12"/>
        <v>0.55200502940122698</v>
      </c>
      <c r="N51" s="6">
        <f t="shared" si="13"/>
        <v>1.057631368107629</v>
      </c>
      <c r="O51" s="6">
        <f t="shared" si="14"/>
        <v>0.63395003078626488</v>
      </c>
      <c r="P51" s="6">
        <f t="shared" si="15"/>
        <v>0.97568636672259101</v>
      </c>
    </row>
    <row r="52" spans="1:16" x14ac:dyDescent="0.25">
      <c r="A52" s="6">
        <f t="shared" si="2"/>
        <v>0.66228296253159202</v>
      </c>
      <c r="B52" s="6">
        <f t="shared" si="3"/>
        <v>8.5316110402268596E-7</v>
      </c>
      <c r="C52" s="6" t="e">
        <f t="shared" si="0"/>
        <v>#VALUE!</v>
      </c>
      <c r="D52" s="6" t="e">
        <f t="shared" si="1"/>
        <v>#VALUE!</v>
      </c>
      <c r="E52" s="6">
        <f t="shared" si="4"/>
        <v>8.5316110402267992E-7</v>
      </c>
      <c r="F52" s="6">
        <f t="shared" si="5"/>
        <v>8.5316110402269199E-7</v>
      </c>
      <c r="G52" s="6">
        <f t="shared" si="6"/>
        <v>0.85128156995367299</v>
      </c>
      <c r="H52" s="6">
        <f t="shared" si="7"/>
        <v>0.69028149933787197</v>
      </c>
      <c r="I52" s="6">
        <f t="shared" si="8"/>
        <v>1.0122816405694739</v>
      </c>
      <c r="J52" s="6">
        <f t="shared" si="9"/>
        <v>0.68352705809746395</v>
      </c>
      <c r="K52" s="6">
        <f t="shared" si="10"/>
        <v>1.019036081809882</v>
      </c>
      <c r="L52" s="6">
        <f t="shared" si="11"/>
        <v>0.86215569560021599</v>
      </c>
      <c r="M52" s="6">
        <f t="shared" si="12"/>
        <v>0.56572181107866593</v>
      </c>
      <c r="N52" s="6">
        <f t="shared" si="13"/>
        <v>1.158589580121766</v>
      </c>
      <c r="O52" s="6">
        <f t="shared" si="14"/>
        <v>0.67327919673236702</v>
      </c>
      <c r="P52" s="6">
        <f t="shared" si="15"/>
        <v>1.051032194468065</v>
      </c>
    </row>
    <row r="53" spans="1:16" x14ac:dyDescent="0.25">
      <c r="A53" s="6">
        <f t="shared" si="2"/>
        <v>0.70367564768981405</v>
      </c>
      <c r="B53" s="6">
        <f t="shared" si="3"/>
        <v>8.5316110402268596E-7</v>
      </c>
      <c r="C53" s="6" t="e">
        <f t="shared" si="0"/>
        <v>#VALUE!</v>
      </c>
      <c r="D53" s="6" t="e">
        <f t="shared" si="1"/>
        <v>#VALUE!</v>
      </c>
      <c r="E53" s="6">
        <f t="shared" si="4"/>
        <v>8.5316110402267992E-7</v>
      </c>
      <c r="F53" s="6">
        <f t="shared" si="5"/>
        <v>8.5316110402269199E-7</v>
      </c>
      <c r="G53" s="6">
        <f t="shared" si="6"/>
        <v>0.91729983152064098</v>
      </c>
      <c r="H53" s="6">
        <f t="shared" si="7"/>
        <v>0.73681966632464102</v>
      </c>
      <c r="I53" s="6">
        <f t="shared" si="8"/>
        <v>1.0977799967166411</v>
      </c>
      <c r="J53" s="6">
        <f t="shared" si="9"/>
        <v>0.72211646119192896</v>
      </c>
      <c r="K53" s="6">
        <f t="shared" si="10"/>
        <v>1.1124832018493529</v>
      </c>
      <c r="L53" s="6">
        <f t="shared" si="11"/>
        <v>0.92972910453823199</v>
      </c>
      <c r="M53" s="6">
        <f t="shared" si="12"/>
        <v>0.53238624982157101</v>
      </c>
      <c r="N53" s="6">
        <f t="shared" si="13"/>
        <v>1.327071959254893</v>
      </c>
      <c r="O53" s="6">
        <f t="shared" si="14"/>
        <v>0.713630621575437</v>
      </c>
      <c r="P53" s="6">
        <f t="shared" si="15"/>
        <v>1.1458275875010271</v>
      </c>
    </row>
    <row r="54" spans="1:16" x14ac:dyDescent="0.25">
      <c r="A54" s="6">
        <f t="shared" si="2"/>
        <v>0.74506833284806095</v>
      </c>
      <c r="B54" s="6">
        <f t="shared" si="3"/>
        <v>8.5316110402268596E-7</v>
      </c>
      <c r="C54" s="6" t="e">
        <f t="shared" si="0"/>
        <v>#VALUE!</v>
      </c>
      <c r="D54" s="6" t="e">
        <f t="shared" si="1"/>
        <v>#VALUE!</v>
      </c>
      <c r="E54" s="6">
        <f t="shared" si="4"/>
        <v>8.5316110402267992E-7</v>
      </c>
      <c r="F54" s="6">
        <f t="shared" si="5"/>
        <v>8.5316110402269199E-7</v>
      </c>
      <c r="G54" s="6">
        <f t="shared" si="6"/>
        <v>0.96081147016714896</v>
      </c>
      <c r="H54" s="6">
        <f t="shared" si="7"/>
        <v>0.76728417101166402</v>
      </c>
      <c r="I54" s="6">
        <f t="shared" si="8"/>
        <v>1.1543387693226339</v>
      </c>
      <c r="J54" s="6">
        <f t="shared" si="9"/>
        <v>0.75517328195285094</v>
      </c>
      <c r="K54" s="6">
        <f t="shared" si="10"/>
        <v>1.166449658381447</v>
      </c>
      <c r="L54" s="6">
        <f t="shared" si="11"/>
        <v>0.98348515588274299</v>
      </c>
      <c r="M54" s="6">
        <f t="shared" si="12"/>
        <v>0.43876258136369495</v>
      </c>
      <c r="N54" s="6">
        <f t="shared" si="13"/>
        <v>1.5282077304017911</v>
      </c>
      <c r="O54" s="6">
        <f t="shared" si="14"/>
        <v>0.74988181051867298</v>
      </c>
      <c r="P54" s="6">
        <f t="shared" si="15"/>
        <v>1.2170885012468129</v>
      </c>
    </row>
    <row r="55" spans="1:16" x14ac:dyDescent="0.25">
      <c r="A55" s="6">
        <f t="shared" si="2"/>
        <v>0.78646101800628598</v>
      </c>
      <c r="B55" s="6">
        <f t="shared" si="3"/>
        <v>8.5316110402268596E-7</v>
      </c>
      <c r="C55" s="6" t="e">
        <f t="shared" si="0"/>
        <v>#VALUE!</v>
      </c>
      <c r="D55" s="6" t="e">
        <f t="shared" si="1"/>
        <v>#VALUE!</v>
      </c>
      <c r="E55" s="6">
        <f t="shared" si="4"/>
        <v>8.5316110402267992E-7</v>
      </c>
      <c r="F55" s="6">
        <f t="shared" si="5"/>
        <v>8.5316110402269199E-7</v>
      </c>
      <c r="G55" s="6">
        <f t="shared" si="6"/>
        <v>1.0301036996272299</v>
      </c>
      <c r="H55" s="6">
        <f t="shared" si="7"/>
        <v>0.8151903581531339</v>
      </c>
      <c r="I55" s="6">
        <f t="shared" si="8"/>
        <v>1.2450170411013259</v>
      </c>
      <c r="J55" s="6">
        <f t="shared" si="9"/>
        <v>0.80698428684827095</v>
      </c>
      <c r="K55" s="6">
        <f t="shared" si="10"/>
        <v>1.253223112406189</v>
      </c>
      <c r="L55" s="6">
        <f t="shared" si="11"/>
        <v>1.0565721988696</v>
      </c>
      <c r="M55" s="6">
        <f t="shared" si="12"/>
        <v>0.38756584787637294</v>
      </c>
      <c r="N55" s="6">
        <f t="shared" si="13"/>
        <v>1.7255785498628269</v>
      </c>
      <c r="O55" s="6">
        <f t="shared" si="14"/>
        <v>0.80903226499367797</v>
      </c>
      <c r="P55" s="6">
        <f t="shared" si="15"/>
        <v>1.3041121327455221</v>
      </c>
    </row>
    <row r="56" spans="1:16" x14ac:dyDescent="0.25">
      <c r="A56" s="6">
        <f t="shared" si="2"/>
        <v>0.82785370316449203</v>
      </c>
      <c r="B56" s="6">
        <f t="shared" si="3"/>
        <v>8.5316110402268596E-7</v>
      </c>
      <c r="C56" s="6" t="e">
        <f t="shared" si="0"/>
        <v>#VALUE!</v>
      </c>
      <c r="D56" s="6" t="e">
        <f t="shared" si="1"/>
        <v>#VALUE!</v>
      </c>
      <c r="E56" s="6">
        <f t="shared" si="4"/>
        <v>8.5316110402267992E-7</v>
      </c>
      <c r="F56" s="6">
        <f t="shared" si="5"/>
        <v>8.5316110402269199E-7</v>
      </c>
      <c r="G56" s="6">
        <f t="shared" si="6"/>
        <v>1.0774186189799499</v>
      </c>
      <c r="H56" s="6">
        <f t="shared" si="7"/>
        <v>0.846887384587935</v>
      </c>
      <c r="I56" s="6">
        <f t="shared" si="8"/>
        <v>1.3079498533719649</v>
      </c>
      <c r="J56" s="6">
        <f t="shared" si="9"/>
        <v>0.82296888571737692</v>
      </c>
      <c r="K56" s="6">
        <f t="shared" si="10"/>
        <v>1.331868352242523</v>
      </c>
      <c r="L56" s="6">
        <f t="shared" si="11"/>
        <v>1.08958787705622</v>
      </c>
      <c r="M56" s="6">
        <f t="shared" si="12"/>
        <v>0.28469757056285994</v>
      </c>
      <c r="N56" s="6">
        <f t="shared" si="13"/>
        <v>1.8944781835495799</v>
      </c>
      <c r="O56" s="6">
        <f t="shared" si="14"/>
        <v>0.82374839090651897</v>
      </c>
      <c r="P56" s="6">
        <f t="shared" si="15"/>
        <v>1.3554273632059211</v>
      </c>
    </row>
    <row r="57" spans="1:16" x14ac:dyDescent="0.25">
      <c r="A57" s="6">
        <f t="shared" si="2"/>
        <v>0.86924638832272205</v>
      </c>
      <c r="B57" s="6">
        <f t="shared" si="3"/>
        <v>8.5316110402268596E-7</v>
      </c>
      <c r="C57" s="6" t="e">
        <f t="shared" si="0"/>
        <v>#VALUE!</v>
      </c>
      <c r="D57" s="6" t="e">
        <f t="shared" si="1"/>
        <v>#VALUE!</v>
      </c>
      <c r="E57" s="6">
        <f t="shared" si="4"/>
        <v>8.5316110402267992E-7</v>
      </c>
      <c r="F57" s="6">
        <f t="shared" si="5"/>
        <v>8.5316110402269199E-7</v>
      </c>
      <c r="G57" s="6">
        <f t="shared" si="6"/>
        <v>1.13477064813127</v>
      </c>
      <c r="H57" s="6">
        <f t="shared" si="7"/>
        <v>0.88535443419318804</v>
      </c>
      <c r="I57" s="6">
        <f t="shared" si="8"/>
        <v>1.384186862069352</v>
      </c>
      <c r="J57" s="6">
        <f t="shared" si="9"/>
        <v>0.86115569740324105</v>
      </c>
      <c r="K57" s="6">
        <f t="shared" si="10"/>
        <v>1.408385598859299</v>
      </c>
      <c r="L57" s="6">
        <f t="shared" si="11"/>
        <v>1.14362211740178</v>
      </c>
      <c r="M57" s="6">
        <f t="shared" si="12"/>
        <v>0.31408889678935104</v>
      </c>
      <c r="N57" s="6">
        <f t="shared" si="13"/>
        <v>1.9731553380142088</v>
      </c>
      <c r="O57" s="6">
        <f t="shared" si="14"/>
        <v>0.87145838190708902</v>
      </c>
      <c r="P57" s="6">
        <f t="shared" si="15"/>
        <v>1.4157858528964709</v>
      </c>
    </row>
    <row r="58" spans="1:16" x14ac:dyDescent="0.25">
      <c r="A58" s="6">
        <f t="shared" si="2"/>
        <v>0.91063907348097095</v>
      </c>
      <c r="B58" s="6">
        <f t="shared" si="3"/>
        <v>8.5316110402268596E-7</v>
      </c>
      <c r="C58" s="6" t="e">
        <f t="shared" si="0"/>
        <v>#VALUE!</v>
      </c>
      <c r="D58" s="6" t="e">
        <f t="shared" si="1"/>
        <v>#VALUE!</v>
      </c>
      <c r="E58" s="6">
        <f t="shared" si="4"/>
        <v>8.5316110402267992E-7</v>
      </c>
      <c r="F58" s="6">
        <f t="shared" si="5"/>
        <v>8.5316110402269199E-7</v>
      </c>
      <c r="G58" s="6">
        <f t="shared" si="6"/>
        <v>1.18758940751188</v>
      </c>
      <c r="H58" s="6">
        <f t="shared" si="7"/>
        <v>0.92001429401688206</v>
      </c>
      <c r="I58" s="6">
        <f t="shared" si="8"/>
        <v>1.455164521006878</v>
      </c>
      <c r="J58" s="6">
        <f t="shared" si="9"/>
        <v>0.88699845151378809</v>
      </c>
      <c r="K58" s="6">
        <f t="shared" si="10"/>
        <v>1.488180363509972</v>
      </c>
      <c r="L58" s="6">
        <f t="shared" si="11"/>
        <v>1.17489158247817</v>
      </c>
      <c r="M58" s="6">
        <f t="shared" si="12"/>
        <v>0.27034932041374804</v>
      </c>
      <c r="N58" s="6">
        <f t="shared" si="13"/>
        <v>2.0794338445425922</v>
      </c>
      <c r="O58" s="6">
        <f t="shared" si="14"/>
        <v>0.89444183014084011</v>
      </c>
      <c r="P58" s="6">
        <f t="shared" si="15"/>
        <v>1.4553413348155</v>
      </c>
    </row>
    <row r="59" spans="1:16" x14ac:dyDescent="0.25">
      <c r="A59" s="6">
        <f t="shared" si="2"/>
        <v>0.95203175863915301</v>
      </c>
      <c r="B59" s="6">
        <f t="shared" si="3"/>
        <v>8.5316110402268596E-7</v>
      </c>
      <c r="C59" s="6" t="e">
        <f t="shared" si="0"/>
        <v>#VALUE!</v>
      </c>
      <c r="D59" s="6" t="e">
        <f t="shared" si="1"/>
        <v>#VALUE!</v>
      </c>
      <c r="E59" s="6">
        <f t="shared" si="4"/>
        <v>8.5316110402267992E-7</v>
      </c>
      <c r="F59" s="6">
        <f t="shared" si="5"/>
        <v>8.5316110402269199E-7</v>
      </c>
      <c r="G59" s="6">
        <f t="shared" si="6"/>
        <v>1.20974596131437</v>
      </c>
      <c r="H59" s="6">
        <f t="shared" si="7"/>
        <v>0.93512967532053093</v>
      </c>
      <c r="I59" s="6">
        <f t="shared" si="8"/>
        <v>1.484362247308209</v>
      </c>
      <c r="J59" s="6">
        <f t="shared" si="9"/>
        <v>0.91699449074206896</v>
      </c>
      <c r="K59" s="6">
        <f t="shared" si="10"/>
        <v>1.5024974318866708</v>
      </c>
      <c r="L59" s="6">
        <f t="shared" si="11"/>
        <v>1.18134524063809</v>
      </c>
      <c r="M59" s="6">
        <f t="shared" si="12"/>
        <v>0.32194589505097704</v>
      </c>
      <c r="N59" s="6">
        <f t="shared" si="13"/>
        <v>2.0407445862252027</v>
      </c>
      <c r="O59" s="6">
        <f t="shared" si="14"/>
        <v>0.88857485719615004</v>
      </c>
      <c r="P59" s="6">
        <f t="shared" si="15"/>
        <v>1.4741156240800299</v>
      </c>
    </row>
    <row r="60" spans="1:16" x14ac:dyDescent="0.25">
      <c r="A60" s="6">
        <f t="shared" si="2"/>
        <v>0.99342444379738704</v>
      </c>
      <c r="B60" s="6">
        <f t="shared" si="3"/>
        <v>8.5316110402268596E-7</v>
      </c>
      <c r="C60" s="6" t="e">
        <f t="shared" si="0"/>
        <v>#VALUE!</v>
      </c>
      <c r="D60" s="6" t="e">
        <f t="shared" si="1"/>
        <v>#VALUE!</v>
      </c>
      <c r="E60" s="6">
        <f t="shared" si="4"/>
        <v>8.5316110402267992E-7</v>
      </c>
      <c r="F60" s="6">
        <f t="shared" si="5"/>
        <v>8.5316110402269199E-7</v>
      </c>
      <c r="G60" s="6">
        <f t="shared" si="6"/>
        <v>1.2513452652305399</v>
      </c>
      <c r="H60" s="6">
        <f t="shared" si="7"/>
        <v>0.9625581168609989</v>
      </c>
      <c r="I60" s="6">
        <f t="shared" si="8"/>
        <v>1.5401324136000809</v>
      </c>
      <c r="J60" s="6">
        <f t="shared" si="9"/>
        <v>0.95093508183915687</v>
      </c>
      <c r="K60" s="6">
        <f t="shared" si="10"/>
        <v>1.5517554486219229</v>
      </c>
      <c r="L60" s="6">
        <f t="shared" si="11"/>
        <v>1.21841174538316</v>
      </c>
      <c r="M60" s="6">
        <f t="shared" si="12"/>
        <v>0.28868709665409098</v>
      </c>
      <c r="N60" s="6">
        <f t="shared" si="13"/>
        <v>2.1481363941122291</v>
      </c>
      <c r="O60" s="6">
        <f t="shared" si="14"/>
        <v>0.91970494139121306</v>
      </c>
      <c r="P60" s="6">
        <f t="shared" si="15"/>
        <v>1.5171185493751069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means 8</vt:lpstr>
      <vt:lpstr>means 16</vt:lpstr>
      <vt:lpstr>means 32</vt:lpstr>
      <vt:lpstr>means 64</vt:lpstr>
      <vt:lpstr>means 128</vt:lpstr>
      <vt:lpstr>means 256</vt:lpstr>
      <vt:lpstr>means 512</vt:lpstr>
      <vt:lpstr>means 1024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Vruj</dc:creator>
  <cp:lastModifiedBy>Vruj</cp:lastModifiedBy>
  <dcterms:created xsi:type="dcterms:W3CDTF">2018-12-17T16:22:12Z</dcterms:created>
  <dcterms:modified xsi:type="dcterms:W3CDTF">2019-03-26T15:13:04Z</dcterms:modified>
</cp:coreProperties>
</file>